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BA 1\MBA -2nd - Sem\MBA-Financial Modelling\"/>
    </mc:Choice>
  </mc:AlternateContent>
  <xr:revisionPtr revIDLastSave="0" documentId="13_ncr:1_{3760567D-902F-43BE-BD1A-0FA8C5F32DF8}" xr6:coauthVersionLast="47" xr6:coauthVersionMax="47" xr10:uidLastSave="{00000000-0000-0000-0000-000000000000}"/>
  <bookViews>
    <workbookView xWindow="-108" yWindow="-108" windowWidth="23256" windowHeight="12456" activeTab="3" xr2:uid="{D1DAF8D2-3971-4C19-9CA7-FEFB5CF459A1}"/>
  </bookViews>
  <sheets>
    <sheet name="BEP MODE" sheetId="1" r:id="rId1"/>
    <sheet name="Sensitivity" sheetId="4" r:id="rId2"/>
    <sheet name="Scenario Summary 2" sheetId="7" r:id="rId3"/>
    <sheet name="Scenario" sheetId="5" r:id="rId4"/>
    <sheet name="Scenario Summary" sheetId="6" r:id="rId5"/>
  </sheets>
  <definedNames>
    <definedName name="FC">Scenario!$F$9</definedName>
    <definedName name="Fixed_Cost">Scenario!$F$19</definedName>
    <definedName name="QYT">Scenario!$F$6</definedName>
    <definedName name="Revenue">Scenario!$F$16</definedName>
    <definedName name="Sales">Scenario!$F$15</definedName>
    <definedName name="SP_UNIT">Scenario!$F$7</definedName>
    <definedName name="Tot.CM">Scenario!$F$18</definedName>
    <definedName name="Tot.Profit">Scenario!$F$20</definedName>
    <definedName name="Total_VC">Scenario!$F$17</definedName>
    <definedName name="VC_UNIT">Scenario!$F$8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9" i="5" l="1"/>
  <c r="F17" i="5"/>
  <c r="F16" i="5"/>
  <c r="F15" i="5"/>
  <c r="C9" i="4"/>
  <c r="C3" i="4"/>
  <c r="C2" i="4"/>
  <c r="C10" i="4" s="1"/>
  <c r="C1" i="4"/>
  <c r="C12" i="4" s="1"/>
  <c r="G14" i="1"/>
  <c r="G15" i="1"/>
  <c r="G16" i="1"/>
  <c r="G17" i="1"/>
  <c r="G18" i="1"/>
  <c r="G19" i="1"/>
  <c r="G20" i="1"/>
  <c r="G21" i="1"/>
  <c r="G22" i="1"/>
  <c r="G23" i="1"/>
  <c r="G13" i="1"/>
  <c r="E13" i="1"/>
  <c r="D13" i="1"/>
  <c r="D14" i="1"/>
  <c r="D15" i="1"/>
  <c r="D16" i="1"/>
  <c r="D17" i="1"/>
  <c r="D18" i="1"/>
  <c r="D19" i="1"/>
  <c r="D20" i="1"/>
  <c r="D21" i="1"/>
  <c r="D22" i="1"/>
  <c r="D23" i="1"/>
  <c r="D12" i="1"/>
  <c r="E14" i="1"/>
  <c r="E15" i="1"/>
  <c r="E16" i="1"/>
  <c r="F16" i="1" s="1"/>
  <c r="E17" i="1"/>
  <c r="F17" i="1" s="1"/>
  <c r="E18" i="1"/>
  <c r="E19" i="1"/>
  <c r="F19" i="1" s="1"/>
  <c r="E20" i="1"/>
  <c r="E21" i="1"/>
  <c r="E22" i="1"/>
  <c r="E23" i="1"/>
  <c r="E12" i="1"/>
  <c r="S15" i="1"/>
  <c r="S14" i="1"/>
  <c r="S13" i="1"/>
  <c r="F18" i="5" l="1"/>
  <c r="F20" i="5" s="1"/>
  <c r="C4" i="4"/>
  <c r="C11" i="4" s="1"/>
  <c r="C13" i="4" s="1"/>
  <c r="M3" i="4" s="1"/>
  <c r="F15" i="1"/>
  <c r="F23" i="1"/>
  <c r="F13" i="1"/>
  <c r="F22" i="1"/>
  <c r="F21" i="1"/>
  <c r="F20" i="1"/>
  <c r="F14" i="1"/>
  <c r="F12" i="1"/>
  <c r="G12" i="1" s="1"/>
  <c r="F18" i="1"/>
  <c r="S16" i="1"/>
  <c r="S17" i="1" s="1"/>
  <c r="S19" i="1" s="1"/>
  <c r="I3" i="4" l="1"/>
  <c r="C6" i="4"/>
  <c r="C5" i="4"/>
  <c r="C7" i="4" s="1"/>
  <c r="J3" i="4"/>
  <c r="S18" i="1"/>
</calcChain>
</file>

<file path=xl/sharedStrings.xml><?xml version="1.0" encoding="utf-8"?>
<sst xmlns="http://schemas.openxmlformats.org/spreadsheetml/2006/main" count="106" uniqueCount="54">
  <si>
    <t>BEP(QTY)</t>
  </si>
  <si>
    <t>Fixed Cost</t>
  </si>
  <si>
    <t>FC</t>
  </si>
  <si>
    <t>VC/UNIT</t>
  </si>
  <si>
    <t>SP/UNIT</t>
  </si>
  <si>
    <t>CM/UNIT</t>
  </si>
  <si>
    <t>CM%</t>
  </si>
  <si>
    <t>BEP(SALES)</t>
  </si>
  <si>
    <t>BEP Accelerator</t>
  </si>
  <si>
    <t>VC</t>
  </si>
  <si>
    <t>SP</t>
  </si>
  <si>
    <t>Qty</t>
  </si>
  <si>
    <t>Variable</t>
  </si>
  <si>
    <t>Total Cost</t>
  </si>
  <si>
    <t>Revenue</t>
  </si>
  <si>
    <t>Sales</t>
  </si>
  <si>
    <t>Total_VC</t>
  </si>
  <si>
    <t>Tot.Profit</t>
  </si>
  <si>
    <t>Total</t>
  </si>
  <si>
    <t>Tot.CM</t>
  </si>
  <si>
    <t>Contn</t>
  </si>
  <si>
    <t>Profit</t>
  </si>
  <si>
    <t>One Way Table</t>
  </si>
  <si>
    <t>TWO WAY TABLE</t>
  </si>
  <si>
    <t>Variable Cost</t>
  </si>
  <si>
    <t>QYT</t>
  </si>
  <si>
    <t>Input</t>
  </si>
  <si>
    <t xml:space="preserve">Base </t>
  </si>
  <si>
    <t>Boom</t>
  </si>
  <si>
    <t>Recession</t>
  </si>
  <si>
    <t>$F$6</t>
  </si>
  <si>
    <t>$F$7</t>
  </si>
  <si>
    <t>$F$8</t>
  </si>
  <si>
    <t>$F$9</t>
  </si>
  <si>
    <t>$F$15</t>
  </si>
  <si>
    <t>$F$16</t>
  </si>
  <si>
    <t>$F$17</t>
  </si>
  <si>
    <t>$F$18</t>
  </si>
  <si>
    <t>$F$19</t>
  </si>
  <si>
    <t>$F$20</t>
  </si>
  <si>
    <t>Original Data</t>
  </si>
  <si>
    <t>Created by Sumiran Gurung on 04-02-2026
Modified by Sumiran Gurung on 04-02-2026</t>
  </si>
  <si>
    <t>Normal</t>
  </si>
  <si>
    <t>Created by Sumiran Gurung on 04-02-2026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</si>
  <si>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</si>
  <si>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</si>
  <si>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</si>
  <si>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</si>
  <si>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</si>
  <si>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</si>
  <si>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</si>
  <si>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SP_UNIT</t>
  </si>
  <si>
    <t>VC_UNIT</t>
  </si>
  <si>
    <t>Fixed_Cost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</si>
</sst>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Algerian"/>
      <family val="5"/>
    </font>
    <font>
      <b/>
      <sz val="20"/>
      <color theme="1"/>
      <name val="Algerian"/>
      <family val="5"/>
    </font>
    <font>
      <sz val="20"/>
      <color theme="1"/>
      <name val="Algerian"/>
      <family val="5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2" borderId="0" xfId="0" applyFill="1"/>
    <xf numFmtId="0" fontId="0" fillId="3" borderId="0" xfId="0" applyFill="1"/>
    <xf numFmtId="1" fontId="0" fillId="3" borderId="0" xfId="0" applyNumberFormat="1" applyFill="1"/>
    <xf numFmtId="0" fontId="0" fillId="0" borderId="4" xfId="0" applyBorder="1"/>
    <xf numFmtId="0" fontId="0" fillId="0" borderId="5" xfId="0" applyBorder="1"/>
    <xf numFmtId="0" fontId="0" fillId="5" borderId="6" xfId="0" applyFill="1" applyBorder="1"/>
    <xf numFmtId="0" fontId="0" fillId="5" borderId="7" xfId="0" applyFill="1" applyBorder="1"/>
    <xf numFmtId="0" fontId="0" fillId="0" borderId="7" xfId="0" applyBorder="1"/>
    <xf numFmtId="0" fontId="0" fillId="5" borderId="8" xfId="0" applyFill="1" applyBorder="1"/>
    <xf numFmtId="0" fontId="0" fillId="0" borderId="9" xfId="0" applyBorder="1"/>
    <xf numFmtId="0" fontId="0" fillId="2" borderId="9" xfId="0" applyFill="1" applyBorder="1"/>
    <xf numFmtId="0" fontId="0" fillId="3" borderId="9" xfId="0" applyFill="1" applyBorder="1"/>
    <xf numFmtId="1" fontId="0" fillId="3" borderId="9" xfId="0" applyNumberFormat="1" applyFill="1" applyBorder="1"/>
    <xf numFmtId="0" fontId="0" fillId="6" borderId="9" xfId="0" applyFill="1" applyBorder="1"/>
    <xf numFmtId="0" fontId="0" fillId="9" borderId="9" xfId="0" applyFill="1" applyBorder="1"/>
    <xf numFmtId="0" fontId="0" fillId="8" borderId="9" xfId="0" applyFill="1" applyBorder="1"/>
    <xf numFmtId="0" fontId="0" fillId="6" borderId="0" xfId="0" applyFill="1"/>
    <xf numFmtId="0" fontId="0" fillId="11" borderId="0" xfId="0" applyFill="1"/>
    <xf numFmtId="0" fontId="0" fillId="11" borderId="9" xfId="0" applyFill="1" applyBorder="1"/>
    <xf numFmtId="0" fontId="4" fillId="12" borderId="15" xfId="0" applyFont="1" applyFill="1" applyBorder="1" applyAlignment="1">
      <alignment horizontal="left"/>
    </xf>
    <xf numFmtId="0" fontId="4" fillId="12" borderId="2" xfId="0" applyFont="1" applyFill="1" applyBorder="1" applyAlignment="1">
      <alignment horizontal="left"/>
    </xf>
    <xf numFmtId="0" fontId="0" fillId="0" borderId="16" xfId="0" applyBorder="1"/>
    <xf numFmtId="0" fontId="5" fillId="13" borderId="0" xfId="0" applyFont="1" applyFill="1" applyAlignment="1">
      <alignment horizontal="left"/>
    </xf>
    <xf numFmtId="0" fontId="6" fillId="13" borderId="16" xfId="0" applyFont="1" applyFill="1" applyBorder="1" applyAlignment="1">
      <alignment horizontal="left"/>
    </xf>
    <xf numFmtId="0" fontId="5" fillId="13" borderId="7" xfId="0" applyFont="1" applyFill="1" applyBorder="1" applyAlignment="1">
      <alignment horizontal="left"/>
    </xf>
    <xf numFmtId="0" fontId="7" fillId="12" borderId="2" xfId="0" applyFont="1" applyFill="1" applyBorder="1" applyAlignment="1">
      <alignment horizontal="right"/>
    </xf>
    <xf numFmtId="0" fontId="7" fillId="12" borderId="15" xfId="0" applyFont="1" applyFill="1" applyBorder="1" applyAlignment="1">
      <alignment horizontal="right"/>
    </xf>
    <xf numFmtId="0" fontId="0" fillId="14" borderId="0" xfId="0" applyFill="1"/>
    <xf numFmtId="0" fontId="8" fillId="0" borderId="0" xfId="0" applyFont="1" applyAlignment="1">
      <alignment vertical="top" wrapText="1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10" borderId="10" xfId="0" applyFill="1" applyBorder="1" applyAlignment="1">
      <alignment horizontal="center"/>
    </xf>
    <xf numFmtId="0" fontId="0" fillId="10" borderId="0" xfId="0" applyFill="1" applyAlignment="1">
      <alignment horizontal="center"/>
    </xf>
    <xf numFmtId="0" fontId="2" fillId="7" borderId="11" xfId="0" applyFont="1" applyFill="1" applyBorder="1" applyAlignment="1">
      <alignment horizontal="center" vertical="center" textRotation="90"/>
    </xf>
    <xf numFmtId="0" fontId="3" fillId="7" borderId="12" xfId="0" applyFont="1" applyFill="1" applyBorder="1" applyAlignment="1">
      <alignment horizontal="center" vertical="center" textRotation="90"/>
    </xf>
    <xf numFmtId="0" fontId="3" fillId="7" borderId="13" xfId="0" applyFont="1" applyFill="1" applyBorder="1" applyAlignment="1">
      <alignment horizontal="center" vertical="center" textRotation="90"/>
    </xf>
    <xf numFmtId="0" fontId="3" fillId="7" borderId="11" xfId="0" applyFont="1" applyFill="1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 b="1"/>
              <a:t>BEP ANALYSIS</a:t>
            </a:r>
          </a:p>
        </c:rich>
      </c:tx>
      <c:layout>
        <c:manualLayout>
          <c:xMode val="edge"/>
          <c:yMode val="edge"/>
          <c:x val="0.40166466053837413"/>
          <c:y val="2.64797561916411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'BEP MODE'!$D$11</c:f>
              <c:strCache>
                <c:ptCount val="1"/>
                <c:pt idx="0">
                  <c:v>Fixed Cost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'BEP MODE'!$C$12:$C$23</c:f>
              <c:numCache>
                <c:formatCode>General</c:formatCode>
                <c:ptCount val="12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</c:numCache>
            </c:numRef>
          </c:cat>
          <c:val>
            <c:numRef>
              <c:f>'BEP MODE'!$D$12:$D$23</c:f>
              <c:numCache>
                <c:formatCode>General</c:formatCode>
                <c:ptCount val="12"/>
                <c:pt idx="0">
                  <c:v>2000</c:v>
                </c:pt>
                <c:pt idx="1">
                  <c:v>2000</c:v>
                </c:pt>
                <c:pt idx="2">
                  <c:v>2000</c:v>
                </c:pt>
                <c:pt idx="3">
                  <c:v>2000</c:v>
                </c:pt>
                <c:pt idx="4">
                  <c:v>2000</c:v>
                </c:pt>
                <c:pt idx="5">
                  <c:v>2000</c:v>
                </c:pt>
                <c:pt idx="6">
                  <c:v>2000</c:v>
                </c:pt>
                <c:pt idx="7">
                  <c:v>2000</c:v>
                </c:pt>
                <c:pt idx="8">
                  <c:v>2000</c:v>
                </c:pt>
                <c:pt idx="9">
                  <c:v>2000</c:v>
                </c:pt>
                <c:pt idx="10">
                  <c:v>2000</c:v>
                </c:pt>
                <c:pt idx="11">
                  <c:v>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DC-481A-B534-9FF59AAB32C2}"/>
            </c:ext>
          </c:extLst>
        </c:ser>
        <c:ser>
          <c:idx val="1"/>
          <c:order val="1"/>
          <c:tx>
            <c:strRef>
              <c:f>'BEP MODE'!$F$11</c:f>
              <c:strCache>
                <c:ptCount val="1"/>
                <c:pt idx="0">
                  <c:v>Total Cost</c:v>
                </c:pt>
              </c:strCache>
            </c:strRef>
          </c:tx>
          <c:spPr>
            <a:ln w="3810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'BEP MODE'!$C$12:$C$23</c:f>
              <c:numCache>
                <c:formatCode>General</c:formatCode>
                <c:ptCount val="12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</c:numCache>
            </c:numRef>
          </c:cat>
          <c:val>
            <c:numRef>
              <c:f>'BEP MODE'!$F$12:$F$23</c:f>
              <c:numCache>
                <c:formatCode>General</c:formatCode>
                <c:ptCount val="12"/>
                <c:pt idx="0">
                  <c:v>2000</c:v>
                </c:pt>
                <c:pt idx="1">
                  <c:v>2300</c:v>
                </c:pt>
                <c:pt idx="2">
                  <c:v>2600</c:v>
                </c:pt>
                <c:pt idx="3">
                  <c:v>2900</c:v>
                </c:pt>
                <c:pt idx="4">
                  <c:v>3200</c:v>
                </c:pt>
                <c:pt idx="5">
                  <c:v>3500</c:v>
                </c:pt>
                <c:pt idx="6">
                  <c:v>3800</c:v>
                </c:pt>
                <c:pt idx="7">
                  <c:v>4100</c:v>
                </c:pt>
                <c:pt idx="8">
                  <c:v>4400</c:v>
                </c:pt>
                <c:pt idx="9">
                  <c:v>4700</c:v>
                </c:pt>
                <c:pt idx="10">
                  <c:v>5000</c:v>
                </c:pt>
                <c:pt idx="11">
                  <c:v>5300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DC-481A-B534-9FF59AAB32C2}"/>
            </c:ext>
          </c:extLst>
        </c:ser>
        <c:ser>
          <c:idx val="2"/>
          <c:order val="2"/>
          <c:tx>
            <c:strRef>
              <c:f>'BEP MODE'!$G$11</c:f>
              <c:strCache>
                <c:ptCount val="1"/>
                <c:pt idx="0">
                  <c:v>Revenue</c:v>
                </c:pt>
              </c:strCache>
            </c:strRef>
          </c:tx>
          <c:spPr>
            <a:ln w="381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'BEP MODE'!$C$12:$C$23</c:f>
              <c:numCache>
                <c:formatCode>General</c:formatCode>
                <c:ptCount val="12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</c:numCache>
            </c:numRef>
          </c:cat>
          <c:val>
            <c:numRef>
              <c:f>'BEP MODE'!$G$12:$G$23</c:f>
              <c:numCache>
                <c:formatCode>General</c:formatCode>
                <c:ptCount val="12"/>
                <c:pt idx="0">
                  <c:v>0</c:v>
                </c:pt>
                <c:pt idx="1">
                  <c:v>700</c:v>
                </c:pt>
                <c:pt idx="2">
                  <c:v>1400</c:v>
                </c:pt>
                <c:pt idx="3">
                  <c:v>2100</c:v>
                </c:pt>
                <c:pt idx="4">
                  <c:v>2800</c:v>
                </c:pt>
                <c:pt idx="5">
                  <c:v>3500</c:v>
                </c:pt>
                <c:pt idx="6">
                  <c:v>4200</c:v>
                </c:pt>
                <c:pt idx="7">
                  <c:v>4900</c:v>
                </c:pt>
                <c:pt idx="8">
                  <c:v>5600</c:v>
                </c:pt>
                <c:pt idx="9">
                  <c:v>6300</c:v>
                </c:pt>
                <c:pt idx="10">
                  <c:v>7000</c:v>
                </c:pt>
                <c:pt idx="11">
                  <c:v>7700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8DC-481A-B534-9FF59AAB32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8056703"/>
        <c:axId val="2088044703"/>
      </c:lineChart>
      <c:catAx>
        <c:axId val="20880567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Quantity</a:t>
                </a:r>
              </a:p>
            </c:rich>
          </c:tx>
          <c:layout>
            <c:manualLayout>
              <c:xMode val="edge"/>
              <c:yMode val="edge"/>
              <c:x val="0.49213064231437786"/>
              <c:y val="0.783394899345651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044703"/>
        <c:crosses val="autoZero"/>
        <c:auto val="1"/>
        <c:lblAlgn val="ctr"/>
        <c:lblOffset val="100"/>
        <c:noMultiLvlLbl val="0"/>
      </c:catAx>
      <c:valAx>
        <c:axId val="2088044703"/>
        <c:scaling>
          <c:orientation val="minMax"/>
          <c:max val="8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 Revenue/cost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056703"/>
        <c:crosses val="autoZero"/>
        <c:crossBetween val="midCat"/>
        <c:majorUnit val="500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trlProps/ctrlProp1.xml><?xml version="1.0" encoding="utf-8"?>
<formControlPr xmlns="http://schemas.microsoft.com/office/spreadsheetml/2009/9/main" objectType="Spin" dx="26" fmlaLink="$O$6" inc="100" max="5000" min="1900" page="10" val="2000"/>
</file>

<file path=xl/ctrlProps/ctrlProp2.xml><?xml version="1.0" encoding="utf-8"?>
<formControlPr xmlns="http://schemas.microsoft.com/office/spreadsheetml/2009/9/main" objectType="Spin" dx="26" fmlaLink="$P$6" inc="5" max="90" min="10" page="10" val="30"/>
</file>

<file path=xl/ctrlProps/ctrlProp3.xml><?xml version="1.0" encoding="utf-8"?>
<formControlPr xmlns="http://schemas.microsoft.com/office/spreadsheetml/2009/9/main" objectType="Spin" dx="26" fmlaLink="$R$6" inc="10" max="100" min="30" page="10" val="70"/>
</file>

<file path=xl/ctrlProps/ctrlProp4.xml><?xml version="1.0" encoding="utf-8"?>
<formControlPr xmlns="http://schemas.microsoft.com/office/spreadsheetml/2009/9/main" objectType="Spin" dx="26" fmlaLink="'BEP MODE'!$O$6" inc="100" max="5000" min="1900" page="10" val="2000"/>
</file>

<file path=xl/ctrlProps/ctrlProp5.xml><?xml version="1.0" encoding="utf-8"?>
<formControlPr xmlns="http://schemas.microsoft.com/office/spreadsheetml/2009/9/main" objectType="Spin" dx="26" fmlaLink="'BEP MODE'!$P$6" max="50" min="9" page="10" val="30"/>
</file>

<file path=xl/ctrlProps/ctrlProp6.xml><?xml version="1.0" encoding="utf-8"?>
<formControlPr xmlns="http://schemas.microsoft.com/office/spreadsheetml/2009/9/main" objectType="Spin" dx="26" fmlaLink="'BEP MODE'!$R$6" inc="10" max="100" min="30" page="10" val="70"/>
</file>

<file path=xl/ctrlProps/ctrlProp7.xml><?xml version="1.0" encoding="utf-8"?>
<formControlPr xmlns="http://schemas.microsoft.com/office/spreadsheetml/2009/9/main" objectType="Spin" dx="26" fmlaLink="'BEP MODE'!$R$6" inc="10" max="100" min="30" page="10" val="70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17417</xdr:colOff>
      <xdr:row>0</xdr:row>
      <xdr:rowOff>114844</xdr:rowOff>
    </xdr:from>
    <xdr:ext cx="4366324" cy="91609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3C799A9-2002-7071-4F91-A854C2BCC73E}"/>
            </a:ext>
          </a:extLst>
        </xdr:cNvPr>
        <xdr:cNvSpPr txBox="1"/>
      </xdr:nvSpPr>
      <xdr:spPr>
        <a:xfrm>
          <a:off x="17417" y="114844"/>
          <a:ext cx="4366324" cy="916097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IN" sz="1600" b="1">
              <a:solidFill>
                <a:schemeClr val="bg1"/>
              </a:solidFill>
              <a:latin typeface="Algerian" panose="04020705040A02060702" pitchFamily="82" charset="0"/>
            </a:rPr>
            <a:t>BEP (Qty)</a:t>
          </a:r>
          <a:r>
            <a:rPr lang="en-IN" sz="1600" b="1" baseline="0">
              <a:solidFill>
                <a:schemeClr val="bg1"/>
              </a:solidFill>
              <a:latin typeface="Algerian" panose="04020705040A02060702" pitchFamily="82" charset="0"/>
            </a:rPr>
            <a:t> =               Fixed Cost</a:t>
          </a:r>
        </a:p>
        <a:p>
          <a:r>
            <a:rPr lang="en-IN" sz="1600" b="1" baseline="0">
              <a:solidFill>
                <a:schemeClr val="bg1"/>
              </a:solidFill>
              <a:latin typeface="Algerian" panose="04020705040A02060702" pitchFamily="82" charset="0"/>
            </a:rPr>
            <a:t>                      Contribuition margin per Unit</a:t>
          </a:r>
        </a:p>
        <a:p>
          <a:endParaRPr lang="en-IN" sz="1600" b="1" baseline="0">
            <a:solidFill>
              <a:schemeClr val="bg1"/>
            </a:solidFill>
            <a:latin typeface="Algerian" panose="04020705040A02060702" pitchFamily="82" charset="0"/>
          </a:endParaRPr>
        </a:p>
      </xdr:txBody>
    </xdr:sp>
    <xdr:clientData/>
  </xdr:oneCellAnchor>
  <xdr:oneCellAnchor>
    <xdr:from>
      <xdr:col>6</xdr:col>
      <xdr:colOff>479162</xdr:colOff>
      <xdr:row>0</xdr:row>
      <xdr:rowOff>126848</xdr:rowOff>
    </xdr:from>
    <xdr:ext cx="4083873" cy="91305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43838E8-2EEB-6C9A-9EE3-13D98519C69A}"/>
                </a:ext>
              </a:extLst>
            </xdr:cNvPr>
            <xdr:cNvSpPr txBox="1"/>
          </xdr:nvSpPr>
          <xdr:spPr>
            <a:xfrm>
              <a:off x="4396738" y="126848"/>
              <a:ext cx="4083873" cy="913057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IN" sz="1800">
                  <a:solidFill>
                    <a:schemeClr val="bg1"/>
                  </a:solidFill>
                  <a:latin typeface="Algerian" panose="04020705040A02060702" pitchFamily="82" charset="0"/>
                </a:rPr>
                <a:t>BEP(Sales)=    </a:t>
              </a:r>
              <a:r>
                <a:rPr lang="en-IN" sz="1800" baseline="0">
                  <a:solidFill>
                    <a:schemeClr val="bg1"/>
                  </a:solidFill>
                  <a:latin typeface="Algerian" panose="04020705040A02060702" pitchFamily="82" charset="0"/>
                </a:rPr>
                <a:t>Fixed Cost</a:t>
              </a:r>
              <a:endParaRPr lang="en-IN" sz="1800" i="1" baseline="0">
                <a:solidFill>
                  <a:schemeClr val="bg1"/>
                </a:solidFill>
                <a:latin typeface="Cambria Math" panose="02040503050406030204" pitchFamily="18" charset="0"/>
                <a:ea typeface="Cambria Math" panose="02040503050406030204" pitchFamily="18" charset="0"/>
              </a:endParaRPr>
            </a:p>
            <a:p>
              <a14:m>
                <m:oMath xmlns:m="http://schemas.openxmlformats.org/officeDocument/2006/math">
                  <m:r>
                    <a:rPr lang="en-IN" sz="1800" b="0" i="1" baseline="0">
                      <a:solidFill>
                        <a:schemeClr val="bg1"/>
                      </a:solidFill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                             </m:t>
                  </m:r>
                </m:oMath>
              </a14:m>
              <a:r>
                <a:rPr lang="en-IN" sz="1800" baseline="0">
                  <a:solidFill>
                    <a:schemeClr val="bg1"/>
                  </a:solidFill>
                  <a:latin typeface="Algerian" panose="04020705040A02060702" pitchFamily="82" charset="0"/>
                </a:rPr>
                <a:t>Contribuition %</a:t>
              </a:r>
            </a:p>
            <a:p>
              <a:endParaRPr lang="en-IN" sz="1800">
                <a:solidFill>
                  <a:schemeClr val="bg1"/>
                </a:solidFill>
                <a:latin typeface="Algerian" panose="04020705040A02060702" pitchFamily="82" charset="0"/>
              </a:endParaRPr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43838E8-2EEB-6C9A-9EE3-13D98519C69A}"/>
                </a:ext>
              </a:extLst>
            </xdr:cNvPr>
            <xdr:cNvSpPr txBox="1"/>
          </xdr:nvSpPr>
          <xdr:spPr>
            <a:xfrm>
              <a:off x="4396738" y="126848"/>
              <a:ext cx="4083873" cy="913057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IN" sz="1800">
                  <a:solidFill>
                    <a:schemeClr val="bg1"/>
                  </a:solidFill>
                  <a:latin typeface="Algerian" panose="04020705040A02060702" pitchFamily="82" charset="0"/>
                </a:rPr>
                <a:t>BEP(Sales)=    </a:t>
              </a:r>
              <a:r>
                <a:rPr lang="en-IN" sz="1800" baseline="0">
                  <a:solidFill>
                    <a:schemeClr val="bg1"/>
                  </a:solidFill>
                  <a:latin typeface="Algerian" panose="04020705040A02060702" pitchFamily="82" charset="0"/>
                </a:rPr>
                <a:t>Fixed Cost</a:t>
              </a:r>
              <a:endParaRPr lang="en-IN" sz="1800" i="1" baseline="0">
                <a:solidFill>
                  <a:schemeClr val="bg1"/>
                </a:solidFill>
                <a:latin typeface="Cambria Math" panose="02040503050406030204" pitchFamily="18" charset="0"/>
                <a:ea typeface="Cambria Math" panose="02040503050406030204" pitchFamily="18" charset="0"/>
              </a:endParaRPr>
            </a:p>
            <a:p>
              <a:r>
                <a:rPr lang="en-IN" sz="1800" b="0" i="0" baseline="0">
                  <a:solidFill>
                    <a:schemeClr val="bg1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                             </a:t>
              </a:r>
              <a:r>
                <a:rPr lang="en-IN" sz="1800" baseline="0">
                  <a:solidFill>
                    <a:schemeClr val="bg1"/>
                  </a:solidFill>
                  <a:latin typeface="Algerian" panose="04020705040A02060702" pitchFamily="82" charset="0"/>
                </a:rPr>
                <a:t>Contribuition %</a:t>
              </a:r>
            </a:p>
            <a:p>
              <a:endParaRPr lang="en-IN" sz="1800">
                <a:solidFill>
                  <a:schemeClr val="bg1"/>
                </a:solidFill>
                <a:latin typeface="Algerian" panose="04020705040A02060702" pitchFamily="82" charset="0"/>
              </a:endParaRPr>
            </a:p>
          </xdr:txBody>
        </xdr:sp>
      </mc:Fallback>
    </mc:AlternateContent>
    <xdr:clientData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0</xdr:colOff>
          <xdr:row>3</xdr:row>
          <xdr:rowOff>15240</xdr:rowOff>
        </xdr:from>
        <xdr:to>
          <xdr:col>14</xdr:col>
          <xdr:colOff>777240</xdr:colOff>
          <xdr:row>5</xdr:row>
          <xdr:rowOff>0</xdr:rowOff>
        </xdr:to>
        <xdr:sp macro="" textlink="">
          <xdr:nvSpPr>
            <xdr:cNvPr id="1025" name="Spinner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769620</xdr:colOff>
          <xdr:row>3</xdr:row>
          <xdr:rowOff>0</xdr:rowOff>
        </xdr:from>
        <xdr:to>
          <xdr:col>16</xdr:col>
          <xdr:colOff>22860</xdr:colOff>
          <xdr:row>4</xdr:row>
          <xdr:rowOff>175260</xdr:rowOff>
        </xdr:to>
        <xdr:sp macro="" textlink="">
          <xdr:nvSpPr>
            <xdr:cNvPr id="1026" name="Spinner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807720</xdr:colOff>
          <xdr:row>3</xdr:row>
          <xdr:rowOff>22860</xdr:rowOff>
        </xdr:from>
        <xdr:to>
          <xdr:col>17</xdr:col>
          <xdr:colOff>845820</xdr:colOff>
          <xdr:row>5</xdr:row>
          <xdr:rowOff>0</xdr:rowOff>
        </xdr:to>
        <xdr:sp macro="" textlink="">
          <xdr:nvSpPr>
            <xdr:cNvPr id="1027" name="Spinner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8</xdr:col>
      <xdr:colOff>466164</xdr:colOff>
      <xdr:row>8</xdr:row>
      <xdr:rowOff>143434</xdr:rowOff>
    </xdr:from>
    <xdr:to>
      <xdr:col>16</xdr:col>
      <xdr:colOff>672352</xdr:colOff>
      <xdr:row>30</xdr:row>
      <xdr:rowOff>44822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6BAB1F7-3559-6E4D-ACD4-6A3E72C551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546847</xdr:colOff>
      <xdr:row>2</xdr:row>
      <xdr:rowOff>44823</xdr:rowOff>
    </xdr:from>
    <xdr:to>
      <xdr:col>6</xdr:col>
      <xdr:colOff>179295</xdr:colOff>
      <xdr:row>2</xdr:row>
      <xdr:rowOff>71718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49C07AE-5E50-D65A-3C90-B3A3419A1353}"/>
            </a:ext>
          </a:extLst>
        </xdr:cNvPr>
        <xdr:cNvCxnSpPr/>
      </xdr:nvCxnSpPr>
      <xdr:spPr>
        <a:xfrm>
          <a:off x="1156447" y="412376"/>
          <a:ext cx="2940424" cy="26895"/>
        </a:xfrm>
        <a:prstGeom prst="line">
          <a:avLst/>
        </a:prstGeom>
        <a:ln w="28575">
          <a:solidFill>
            <a:schemeClr val="bg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53789</xdr:colOff>
      <xdr:row>2</xdr:row>
      <xdr:rowOff>80682</xdr:rowOff>
    </xdr:from>
    <xdr:to>
      <xdr:col>12</xdr:col>
      <xdr:colOff>251012</xdr:colOff>
      <xdr:row>2</xdr:row>
      <xdr:rowOff>89647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02F13166-C533-A882-5176-D600C558008D}"/>
            </a:ext>
          </a:extLst>
        </xdr:cNvPr>
        <xdr:cNvCxnSpPr/>
      </xdr:nvCxnSpPr>
      <xdr:spPr>
        <a:xfrm>
          <a:off x="5800165" y="448235"/>
          <a:ext cx="2026023" cy="8965"/>
        </a:xfrm>
        <a:prstGeom prst="line">
          <a:avLst/>
        </a:prstGeom>
        <a:ln w="19050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385481</xdr:colOff>
      <xdr:row>26</xdr:row>
      <xdr:rowOff>71718</xdr:rowOff>
    </xdr:from>
    <xdr:to>
      <xdr:col>8</xdr:col>
      <xdr:colOff>34480</xdr:colOff>
      <xdr:row>42</xdr:row>
      <xdr:rowOff>92766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2F10396-C7D3-9301-959C-6423315614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5481" y="4751294"/>
          <a:ext cx="4785775" cy="288975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30480</xdr:colOff>
          <xdr:row>0</xdr:row>
          <xdr:rowOff>22860</xdr:rowOff>
        </xdr:from>
        <xdr:to>
          <xdr:col>4</xdr:col>
          <xdr:colOff>7620</xdr:colOff>
          <xdr:row>1</xdr:row>
          <xdr:rowOff>0</xdr:rowOff>
        </xdr:to>
        <xdr:sp macro="" textlink="">
          <xdr:nvSpPr>
            <xdr:cNvPr id="4097" name="Spinner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1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22860</xdr:colOff>
          <xdr:row>1</xdr:row>
          <xdr:rowOff>15240</xdr:rowOff>
        </xdr:from>
        <xdr:to>
          <xdr:col>4</xdr:col>
          <xdr:colOff>7620</xdr:colOff>
          <xdr:row>2</xdr:row>
          <xdr:rowOff>0</xdr:rowOff>
        </xdr:to>
        <xdr:sp macro="" textlink="">
          <xdr:nvSpPr>
            <xdr:cNvPr id="4098" name="Spinner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1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15240</xdr:colOff>
          <xdr:row>2</xdr:row>
          <xdr:rowOff>7620</xdr:rowOff>
        </xdr:from>
        <xdr:to>
          <xdr:col>4</xdr:col>
          <xdr:colOff>7620</xdr:colOff>
          <xdr:row>3</xdr:row>
          <xdr:rowOff>0</xdr:rowOff>
        </xdr:to>
        <xdr:sp macro="" textlink="">
          <xdr:nvSpPr>
            <xdr:cNvPr id="4099" name="Spinner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1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15240</xdr:colOff>
          <xdr:row>7</xdr:row>
          <xdr:rowOff>7620</xdr:rowOff>
        </xdr:from>
        <xdr:to>
          <xdr:col>3</xdr:col>
          <xdr:colOff>464820</xdr:colOff>
          <xdr:row>8</xdr:row>
          <xdr:rowOff>0</xdr:rowOff>
        </xdr:to>
        <xdr:sp macro="" textlink="">
          <xdr:nvSpPr>
            <xdr:cNvPr id="4100" name="Spinner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1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4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6" Type="http://schemas.openxmlformats.org/officeDocument/2006/relationships/ctrlProp" Target="../ctrlProps/ctrlProp7.xml"/><Relationship Id="rId5" Type="http://schemas.openxmlformats.org/officeDocument/2006/relationships/ctrlProp" Target="../ctrlProps/ctrlProp6.xml"/><Relationship Id="rId4" Type="http://schemas.openxmlformats.org/officeDocument/2006/relationships/ctrlProp" Target="../ctrlProps/ctrlProp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9B418-13E8-4F16-BA40-044E9D7CF95F}">
  <dimension ref="C1:S23"/>
  <sheetViews>
    <sheetView showGridLines="0" zoomScale="85" zoomScaleNormal="85" workbookViewId="0">
      <selection activeCell="R6" sqref="R6"/>
    </sheetView>
  </sheetViews>
  <sheetFormatPr defaultRowHeight="14.4" x14ac:dyDescent="0.3"/>
  <cols>
    <col min="4" max="4" width="12.21875" customWidth="1"/>
    <col min="6" max="6" width="9.33203125" customWidth="1"/>
    <col min="14" max="14" width="12" customWidth="1"/>
    <col min="15" max="16" width="12.109375" customWidth="1"/>
    <col min="17" max="17" width="12.33203125" customWidth="1"/>
    <col min="19" max="19" width="12.21875" customWidth="1"/>
    <col min="21" max="21" width="18.44140625" customWidth="1"/>
  </cols>
  <sheetData>
    <row r="1" spans="3:19" ht="15" thickBot="1" x14ac:dyDescent="0.35"/>
    <row r="2" spans="3:19" x14ac:dyDescent="0.3">
      <c r="O2" s="30" t="s">
        <v>8</v>
      </c>
      <c r="P2" s="31"/>
      <c r="Q2" s="31"/>
      <c r="R2" s="32"/>
    </row>
    <row r="3" spans="3:19" x14ac:dyDescent="0.3">
      <c r="O3" s="4" t="s">
        <v>2</v>
      </c>
      <c r="P3" t="s">
        <v>9</v>
      </c>
      <c r="R3" s="5" t="s">
        <v>10</v>
      </c>
    </row>
    <row r="4" spans="3:19" x14ac:dyDescent="0.3">
      <c r="O4" s="4"/>
      <c r="R4" s="5"/>
    </row>
    <row r="5" spans="3:19" x14ac:dyDescent="0.3">
      <c r="O5" s="4"/>
      <c r="R5" s="5"/>
    </row>
    <row r="6" spans="3:19" ht="15" thickBot="1" x14ac:dyDescent="0.35">
      <c r="O6" s="6">
        <v>2000</v>
      </c>
      <c r="P6" s="7">
        <v>30</v>
      </c>
      <c r="Q6" s="8"/>
      <c r="R6" s="9">
        <v>70</v>
      </c>
    </row>
    <row r="11" spans="3:19" x14ac:dyDescent="0.3">
      <c r="C11" s="10" t="s">
        <v>11</v>
      </c>
      <c r="D11" s="10" t="s">
        <v>1</v>
      </c>
      <c r="E11" s="10" t="s">
        <v>12</v>
      </c>
      <c r="F11" s="10" t="s">
        <v>13</v>
      </c>
      <c r="G11" s="10" t="s">
        <v>14</v>
      </c>
    </row>
    <row r="12" spans="3:19" x14ac:dyDescent="0.3">
      <c r="C12" s="10">
        <v>0</v>
      </c>
      <c r="D12" s="10">
        <f t="shared" ref="D12:D23" si="0">$O$6</f>
        <v>2000</v>
      </c>
      <c r="E12" s="10">
        <f t="shared" ref="E12:E23" si="1">$P$6*C12</f>
        <v>0</v>
      </c>
      <c r="F12" s="10">
        <f>D12+E12</f>
        <v>2000</v>
      </c>
      <c r="G12" s="10">
        <f>F12*C12</f>
        <v>0</v>
      </c>
    </row>
    <row r="13" spans="3:19" x14ac:dyDescent="0.3">
      <c r="C13" s="10">
        <v>10</v>
      </c>
      <c r="D13" s="10">
        <f t="shared" si="0"/>
        <v>2000</v>
      </c>
      <c r="E13" s="10">
        <f t="shared" si="1"/>
        <v>300</v>
      </c>
      <c r="F13" s="10">
        <f t="shared" ref="F13:F23" si="2">D13+E13</f>
        <v>2300</v>
      </c>
      <c r="G13" s="10">
        <f t="shared" ref="G13:G23" si="3">$R$6*C13</f>
        <v>700</v>
      </c>
      <c r="R13" s="1" t="s">
        <v>2</v>
      </c>
      <c r="S13" s="1">
        <f>O6</f>
        <v>2000</v>
      </c>
    </row>
    <row r="14" spans="3:19" x14ac:dyDescent="0.3">
      <c r="C14" s="10">
        <v>20</v>
      </c>
      <c r="D14" s="10">
        <f t="shared" si="0"/>
        <v>2000</v>
      </c>
      <c r="E14" s="10">
        <f t="shared" si="1"/>
        <v>600</v>
      </c>
      <c r="F14" s="10">
        <f t="shared" si="2"/>
        <v>2600</v>
      </c>
      <c r="G14" s="10">
        <f t="shared" si="3"/>
        <v>1400</v>
      </c>
      <c r="R14" s="1" t="s">
        <v>3</v>
      </c>
      <c r="S14" s="1">
        <f>P6</f>
        <v>30</v>
      </c>
    </row>
    <row r="15" spans="3:19" x14ac:dyDescent="0.3">
      <c r="C15" s="10">
        <v>30</v>
      </c>
      <c r="D15" s="10">
        <f t="shared" si="0"/>
        <v>2000</v>
      </c>
      <c r="E15" s="10">
        <f t="shared" si="1"/>
        <v>900</v>
      </c>
      <c r="F15" s="10">
        <f t="shared" si="2"/>
        <v>2900</v>
      </c>
      <c r="G15" s="10">
        <f t="shared" si="3"/>
        <v>2100</v>
      </c>
      <c r="R15" s="1" t="s">
        <v>4</v>
      </c>
      <c r="S15" s="1">
        <f>R6</f>
        <v>70</v>
      </c>
    </row>
    <row r="16" spans="3:19" x14ac:dyDescent="0.3">
      <c r="C16" s="10">
        <v>40</v>
      </c>
      <c r="D16" s="10">
        <f t="shared" si="0"/>
        <v>2000</v>
      </c>
      <c r="E16" s="10">
        <f t="shared" si="1"/>
        <v>1200</v>
      </c>
      <c r="F16" s="10">
        <f t="shared" si="2"/>
        <v>3200</v>
      </c>
      <c r="G16" s="10">
        <f t="shared" si="3"/>
        <v>2800</v>
      </c>
      <c r="R16" s="2" t="s">
        <v>5</v>
      </c>
      <c r="S16" s="2">
        <f>S15-S14</f>
        <v>40</v>
      </c>
    </row>
    <row r="17" spans="3:19" x14ac:dyDescent="0.3">
      <c r="C17" s="10">
        <v>50</v>
      </c>
      <c r="D17" s="10">
        <f t="shared" si="0"/>
        <v>2000</v>
      </c>
      <c r="E17" s="10">
        <f t="shared" si="1"/>
        <v>1500</v>
      </c>
      <c r="F17" s="10">
        <f t="shared" si="2"/>
        <v>3500</v>
      </c>
      <c r="G17" s="10">
        <f t="shared" si="3"/>
        <v>3500</v>
      </c>
      <c r="R17" s="2" t="s">
        <v>6</v>
      </c>
      <c r="S17" s="3">
        <f>S16/S15*100</f>
        <v>57.142857142857139</v>
      </c>
    </row>
    <row r="18" spans="3:19" x14ac:dyDescent="0.3">
      <c r="C18" s="10">
        <v>60</v>
      </c>
      <c r="D18" s="10">
        <f t="shared" si="0"/>
        <v>2000</v>
      </c>
      <c r="E18" s="10">
        <f t="shared" si="1"/>
        <v>1800</v>
      </c>
      <c r="F18" s="10">
        <f t="shared" si="2"/>
        <v>3800</v>
      </c>
      <c r="G18" s="10">
        <f t="shared" si="3"/>
        <v>4200</v>
      </c>
      <c r="R18" s="2" t="s">
        <v>0</v>
      </c>
      <c r="S18" s="2">
        <f>S13/S16</f>
        <v>50</v>
      </c>
    </row>
    <row r="19" spans="3:19" x14ac:dyDescent="0.3">
      <c r="C19" s="10">
        <v>70</v>
      </c>
      <c r="D19" s="10">
        <f t="shared" si="0"/>
        <v>2000</v>
      </c>
      <c r="E19" s="10">
        <f t="shared" si="1"/>
        <v>2100</v>
      </c>
      <c r="F19" s="10">
        <f t="shared" si="2"/>
        <v>4100</v>
      </c>
      <c r="G19" s="10">
        <f t="shared" si="3"/>
        <v>4900</v>
      </c>
      <c r="R19" s="2" t="s">
        <v>7</v>
      </c>
      <c r="S19" s="2">
        <f>S13/S17*100</f>
        <v>3500</v>
      </c>
    </row>
    <row r="20" spans="3:19" x14ac:dyDescent="0.3">
      <c r="C20" s="10">
        <v>80</v>
      </c>
      <c r="D20" s="10">
        <f t="shared" si="0"/>
        <v>2000</v>
      </c>
      <c r="E20" s="10">
        <f t="shared" si="1"/>
        <v>2400</v>
      </c>
      <c r="F20" s="10">
        <f t="shared" si="2"/>
        <v>4400</v>
      </c>
      <c r="G20" s="10">
        <f t="shared" si="3"/>
        <v>5600</v>
      </c>
    </row>
    <row r="21" spans="3:19" x14ac:dyDescent="0.3">
      <c r="C21" s="10">
        <v>90</v>
      </c>
      <c r="D21" s="10">
        <f t="shared" si="0"/>
        <v>2000</v>
      </c>
      <c r="E21" s="10">
        <f t="shared" si="1"/>
        <v>2700</v>
      </c>
      <c r="F21" s="10">
        <f t="shared" si="2"/>
        <v>4700</v>
      </c>
      <c r="G21" s="10">
        <f t="shared" si="3"/>
        <v>6300</v>
      </c>
    </row>
    <row r="22" spans="3:19" x14ac:dyDescent="0.3">
      <c r="C22" s="10">
        <v>100</v>
      </c>
      <c r="D22" s="10">
        <f t="shared" si="0"/>
        <v>2000</v>
      </c>
      <c r="E22" s="10">
        <f t="shared" si="1"/>
        <v>3000</v>
      </c>
      <c r="F22" s="10">
        <f t="shared" si="2"/>
        <v>5000</v>
      </c>
      <c r="G22" s="10">
        <f t="shared" si="3"/>
        <v>7000</v>
      </c>
    </row>
    <row r="23" spans="3:19" x14ac:dyDescent="0.3">
      <c r="C23" s="10">
        <v>110</v>
      </c>
      <c r="D23" s="10">
        <f t="shared" si="0"/>
        <v>2000</v>
      </c>
      <c r="E23" s="10">
        <f t="shared" si="1"/>
        <v>3300</v>
      </c>
      <c r="F23" s="10">
        <f t="shared" si="2"/>
        <v>5300</v>
      </c>
      <c r="G23" s="10">
        <f t="shared" si="3"/>
        <v>7700</v>
      </c>
    </row>
  </sheetData>
  <mergeCells count="1">
    <mergeCell ref="O2:R2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Spinner 1">
              <controlPr defaultSize="0" autoPict="0">
                <anchor moveWithCells="1" sizeWithCells="1">
                  <from>
                    <xdr:col>14</xdr:col>
                    <xdr:colOff>0</xdr:colOff>
                    <xdr:row>3</xdr:row>
                    <xdr:rowOff>15240</xdr:rowOff>
                  </from>
                  <to>
                    <xdr:col>14</xdr:col>
                    <xdr:colOff>777240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4" name="Spinner 2">
              <controlPr defaultSize="0" autoPict="0">
                <anchor moveWithCells="1" sizeWithCells="1">
                  <from>
                    <xdr:col>14</xdr:col>
                    <xdr:colOff>769620</xdr:colOff>
                    <xdr:row>3</xdr:row>
                    <xdr:rowOff>0</xdr:rowOff>
                  </from>
                  <to>
                    <xdr:col>16</xdr:col>
                    <xdr:colOff>22860</xdr:colOff>
                    <xdr:row>4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Spinner 3">
              <controlPr defaultSize="0" autoPict="0">
                <anchor moveWithCells="1" sizeWithCells="1">
                  <from>
                    <xdr:col>16</xdr:col>
                    <xdr:colOff>807720</xdr:colOff>
                    <xdr:row>3</xdr:row>
                    <xdr:rowOff>22860</xdr:rowOff>
                  </from>
                  <to>
                    <xdr:col>17</xdr:col>
                    <xdr:colOff>845820</xdr:colOff>
                    <xdr:row>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96C6F-9190-479B-8BAC-5A4FB9B309D9}">
  <dimension ref="A1:U15"/>
  <sheetViews>
    <sheetView workbookViewId="0">
      <selection activeCell="B1" sqref="B1:C4"/>
    </sheetView>
  </sheetViews>
  <sheetFormatPr defaultRowHeight="14.4" x14ac:dyDescent="0.3"/>
  <sheetData>
    <row r="1" spans="1:21" ht="32.4" customHeight="1" x14ac:dyDescent="0.3">
      <c r="B1" s="11" t="s">
        <v>2</v>
      </c>
      <c r="C1" s="11">
        <f>'BEP MODE'!O6</f>
        <v>2000</v>
      </c>
      <c r="G1" s="34" t="s">
        <v>22</v>
      </c>
      <c r="H1" s="35"/>
      <c r="I1" s="35"/>
      <c r="J1" s="35"/>
      <c r="L1" s="34" t="s">
        <v>23</v>
      </c>
      <c r="M1" s="34"/>
      <c r="N1" s="34"/>
      <c r="O1" s="34"/>
      <c r="P1" s="34"/>
      <c r="Q1" s="34"/>
      <c r="R1" s="34"/>
      <c r="S1" s="34"/>
      <c r="T1" s="34"/>
      <c r="U1" s="34"/>
    </row>
    <row r="2" spans="1:21" ht="31.2" customHeight="1" x14ac:dyDescent="0.3">
      <c r="B2" s="11" t="s">
        <v>3</v>
      </c>
      <c r="C2" s="11">
        <f>'BEP MODE'!P6</f>
        <v>30</v>
      </c>
      <c r="I2" t="s">
        <v>20</v>
      </c>
      <c r="J2" t="s">
        <v>21</v>
      </c>
      <c r="M2" t="s">
        <v>21</v>
      </c>
      <c r="N2" s="36" t="s">
        <v>1</v>
      </c>
      <c r="O2" s="37"/>
      <c r="P2" s="37"/>
      <c r="Q2" s="37"/>
      <c r="R2" s="37"/>
      <c r="S2" s="37"/>
      <c r="T2" s="37"/>
      <c r="U2" s="37"/>
    </row>
    <row r="3" spans="1:21" ht="26.4" customHeight="1" x14ac:dyDescent="0.3">
      <c r="B3" s="11" t="s">
        <v>4</v>
      </c>
      <c r="C3" s="11">
        <f>'BEP MODE'!R6</f>
        <v>70</v>
      </c>
      <c r="I3">
        <f>C11</f>
        <v>4000</v>
      </c>
      <c r="J3">
        <f>C13</f>
        <v>2000</v>
      </c>
      <c r="M3">
        <f>C13</f>
        <v>2000</v>
      </c>
      <c r="N3">
        <v>2400</v>
      </c>
      <c r="O3">
        <v>2600</v>
      </c>
      <c r="P3">
        <v>2800</v>
      </c>
      <c r="Q3">
        <v>3000</v>
      </c>
      <c r="R3">
        <v>3200</v>
      </c>
      <c r="S3">
        <v>3400</v>
      </c>
      <c r="T3">
        <v>2100</v>
      </c>
      <c r="U3">
        <v>3800</v>
      </c>
    </row>
    <row r="4" spans="1:21" x14ac:dyDescent="0.3">
      <c r="B4" s="12" t="s">
        <v>5</v>
      </c>
      <c r="C4" s="12">
        <f>C3-C2</f>
        <v>40</v>
      </c>
      <c r="G4" s="38" t="s">
        <v>24</v>
      </c>
      <c r="H4" s="15">
        <v>30</v>
      </c>
      <c r="I4" s="16">
        <f t="dataTable" ref="I4:J15" dt2D="0" dtr="0" r1="C2"/>
        <v>4000</v>
      </c>
      <c r="J4" s="16">
        <v>2000</v>
      </c>
      <c r="L4" s="41" t="s">
        <v>24</v>
      </c>
      <c r="M4" s="15">
        <v>30</v>
      </c>
      <c r="N4" s="10">
        <f t="dataTable" ref="N4:U15" dt2D="1" dtr="1" r1="C1" r2="C2" ca="1"/>
        <v>1600</v>
      </c>
      <c r="O4" s="10">
        <v>1400</v>
      </c>
      <c r="P4" s="10">
        <v>1200</v>
      </c>
      <c r="Q4" s="10">
        <v>1000</v>
      </c>
      <c r="R4" s="10">
        <v>800</v>
      </c>
      <c r="S4" s="10">
        <v>600</v>
      </c>
      <c r="T4" s="10">
        <v>1900</v>
      </c>
      <c r="U4" s="10">
        <v>200</v>
      </c>
    </row>
    <row r="5" spans="1:21" x14ac:dyDescent="0.3">
      <c r="B5" s="12" t="s">
        <v>6</v>
      </c>
      <c r="C5" s="13">
        <f>C4/C3*100</f>
        <v>57.142857142857139</v>
      </c>
      <c r="G5" s="39"/>
      <c r="H5" s="15">
        <v>32</v>
      </c>
      <c r="I5" s="16">
        <v>3800</v>
      </c>
      <c r="J5" s="16">
        <v>1800</v>
      </c>
      <c r="L5" s="39"/>
      <c r="M5" s="15">
        <v>32</v>
      </c>
      <c r="N5" s="10">
        <v>1400</v>
      </c>
      <c r="O5" s="10">
        <v>1200</v>
      </c>
      <c r="P5" s="10">
        <v>1000</v>
      </c>
      <c r="Q5" s="10">
        <v>800</v>
      </c>
      <c r="R5" s="10">
        <v>600</v>
      </c>
      <c r="S5" s="10">
        <v>400</v>
      </c>
      <c r="T5" s="10">
        <v>1700</v>
      </c>
      <c r="U5" s="10">
        <v>0</v>
      </c>
    </row>
    <row r="6" spans="1:21" x14ac:dyDescent="0.3">
      <c r="B6" s="12" t="s">
        <v>0</v>
      </c>
      <c r="C6" s="12">
        <f>C1/C4</f>
        <v>50</v>
      </c>
      <c r="G6" s="39"/>
      <c r="H6" s="15">
        <v>34</v>
      </c>
      <c r="I6" s="16">
        <v>3600</v>
      </c>
      <c r="J6" s="16">
        <v>1600</v>
      </c>
      <c r="L6" s="39"/>
      <c r="M6" s="15">
        <v>34</v>
      </c>
      <c r="N6" s="10">
        <v>1200</v>
      </c>
      <c r="O6" s="10">
        <v>1000</v>
      </c>
      <c r="P6" s="10">
        <v>800</v>
      </c>
      <c r="Q6" s="10">
        <v>600</v>
      </c>
      <c r="R6" s="10">
        <v>400</v>
      </c>
      <c r="S6" s="10">
        <v>200</v>
      </c>
      <c r="T6" s="10">
        <v>1500</v>
      </c>
      <c r="U6" s="10">
        <v>-200</v>
      </c>
    </row>
    <row r="7" spans="1:21" ht="13.8" customHeight="1" x14ac:dyDescent="0.3">
      <c r="B7" s="12" t="s">
        <v>7</v>
      </c>
      <c r="C7" s="12">
        <f>C1/C5*100</f>
        <v>3500</v>
      </c>
      <c r="G7" s="39"/>
      <c r="H7" s="15">
        <v>36</v>
      </c>
      <c r="I7" s="16">
        <v>3400</v>
      </c>
      <c r="J7" s="16">
        <v>1400</v>
      </c>
      <c r="L7" s="39"/>
      <c r="M7" s="15">
        <v>36</v>
      </c>
      <c r="N7" s="10">
        <v>1000</v>
      </c>
      <c r="O7" s="10">
        <v>800</v>
      </c>
      <c r="P7" s="10">
        <v>600</v>
      </c>
      <c r="Q7" s="10">
        <v>400</v>
      </c>
      <c r="R7" s="10">
        <v>200</v>
      </c>
      <c r="S7" s="10">
        <v>0</v>
      </c>
      <c r="T7" s="10">
        <v>1300</v>
      </c>
      <c r="U7" s="10">
        <v>-400</v>
      </c>
    </row>
    <row r="8" spans="1:21" ht="22.8" customHeight="1" x14ac:dyDescent="0.3">
      <c r="A8" s="33" t="s">
        <v>18</v>
      </c>
      <c r="B8" s="14" t="s">
        <v>15</v>
      </c>
      <c r="C8" s="14">
        <v>100</v>
      </c>
      <c r="G8" s="39"/>
      <c r="H8" s="15">
        <v>38</v>
      </c>
      <c r="I8" s="16">
        <v>3200</v>
      </c>
      <c r="J8" s="16">
        <v>1200</v>
      </c>
      <c r="L8" s="39"/>
      <c r="M8" s="15">
        <v>38</v>
      </c>
      <c r="N8" s="10">
        <v>800</v>
      </c>
      <c r="O8" s="10">
        <v>600</v>
      </c>
      <c r="P8" s="10">
        <v>400</v>
      </c>
      <c r="Q8" s="10">
        <v>200</v>
      </c>
      <c r="R8" s="10">
        <v>0</v>
      </c>
      <c r="S8" s="10">
        <v>-200</v>
      </c>
      <c r="T8" s="10">
        <v>1100</v>
      </c>
      <c r="U8" s="10">
        <v>-600</v>
      </c>
    </row>
    <row r="9" spans="1:21" x14ac:dyDescent="0.3">
      <c r="A9" s="33"/>
      <c r="B9" s="14" t="s">
        <v>14</v>
      </c>
      <c r="C9" s="14">
        <f>C8*C3</f>
        <v>7000</v>
      </c>
      <c r="G9" s="39"/>
      <c r="H9" s="15">
        <v>40</v>
      </c>
      <c r="I9" s="16">
        <v>3000</v>
      </c>
      <c r="J9" s="16">
        <v>1000</v>
      </c>
      <c r="L9" s="39"/>
      <c r="M9" s="15">
        <v>40</v>
      </c>
      <c r="N9" s="10">
        <v>600</v>
      </c>
      <c r="O9" s="10">
        <v>400</v>
      </c>
      <c r="P9" s="10">
        <v>200</v>
      </c>
      <c r="Q9" s="10">
        <v>0</v>
      </c>
      <c r="R9" s="10">
        <v>-200</v>
      </c>
      <c r="S9" s="10">
        <v>-400</v>
      </c>
      <c r="T9" s="10">
        <v>900</v>
      </c>
      <c r="U9" s="10">
        <v>-800</v>
      </c>
    </row>
    <row r="10" spans="1:21" x14ac:dyDescent="0.3">
      <c r="A10" s="33"/>
      <c r="B10" s="14" t="s">
        <v>16</v>
      </c>
      <c r="C10" s="14">
        <f>C2*C8</f>
        <v>3000</v>
      </c>
      <c r="G10" s="39"/>
      <c r="H10" s="15">
        <v>42</v>
      </c>
      <c r="I10" s="16">
        <v>2800</v>
      </c>
      <c r="J10" s="16">
        <v>800</v>
      </c>
      <c r="L10" s="39"/>
      <c r="M10" s="15">
        <v>42</v>
      </c>
      <c r="N10" s="10">
        <v>400</v>
      </c>
      <c r="O10" s="10">
        <v>200</v>
      </c>
      <c r="P10" s="10">
        <v>0</v>
      </c>
      <c r="Q10" s="10">
        <v>-200</v>
      </c>
      <c r="R10" s="10">
        <v>-400</v>
      </c>
      <c r="S10" s="10">
        <v>-600</v>
      </c>
      <c r="T10" s="10">
        <v>700</v>
      </c>
      <c r="U10" s="10">
        <v>-1000</v>
      </c>
    </row>
    <row r="11" spans="1:21" x14ac:dyDescent="0.3">
      <c r="A11" s="33"/>
      <c r="B11" s="14" t="s">
        <v>19</v>
      </c>
      <c r="C11" s="14">
        <f>C4*C8</f>
        <v>4000</v>
      </c>
      <c r="G11" s="39"/>
      <c r="H11" s="15">
        <v>44</v>
      </c>
      <c r="I11" s="16">
        <v>2600</v>
      </c>
      <c r="J11" s="16">
        <v>600</v>
      </c>
      <c r="L11" s="39"/>
      <c r="M11" s="15">
        <v>44</v>
      </c>
      <c r="N11" s="10">
        <v>200</v>
      </c>
      <c r="O11" s="10">
        <v>0</v>
      </c>
      <c r="P11" s="10">
        <v>-200</v>
      </c>
      <c r="Q11" s="10">
        <v>-400</v>
      </c>
      <c r="R11" s="10">
        <v>-600</v>
      </c>
      <c r="S11" s="10">
        <v>-800</v>
      </c>
      <c r="T11" s="10">
        <v>500</v>
      </c>
      <c r="U11" s="10">
        <v>-1200</v>
      </c>
    </row>
    <row r="12" spans="1:21" x14ac:dyDescent="0.3">
      <c r="A12" s="33"/>
      <c r="B12" s="14" t="s">
        <v>2</v>
      </c>
      <c r="C12" s="14">
        <f>C1</f>
        <v>2000</v>
      </c>
      <c r="G12" s="39"/>
      <c r="H12" s="15">
        <v>46</v>
      </c>
      <c r="I12" s="16">
        <v>2400</v>
      </c>
      <c r="J12" s="16">
        <v>400</v>
      </c>
      <c r="L12" s="39"/>
      <c r="M12" s="15">
        <v>46</v>
      </c>
      <c r="N12" s="10">
        <v>0</v>
      </c>
      <c r="O12" s="10">
        <v>-200</v>
      </c>
      <c r="P12" s="10">
        <v>-400</v>
      </c>
      <c r="Q12" s="10">
        <v>-600</v>
      </c>
      <c r="R12" s="10">
        <v>-800</v>
      </c>
      <c r="S12" s="10">
        <v>-1000</v>
      </c>
      <c r="T12" s="10">
        <v>300</v>
      </c>
      <c r="U12" s="10">
        <v>-1400</v>
      </c>
    </row>
    <row r="13" spans="1:21" x14ac:dyDescent="0.3">
      <c r="A13" s="33"/>
      <c r="B13" s="14" t="s">
        <v>17</v>
      </c>
      <c r="C13" s="14">
        <f>C11-C12</f>
        <v>2000</v>
      </c>
      <c r="G13" s="39"/>
      <c r="H13" s="15">
        <v>48</v>
      </c>
      <c r="I13" s="16">
        <v>2200</v>
      </c>
      <c r="J13" s="16">
        <v>200</v>
      </c>
      <c r="L13" s="39"/>
      <c r="M13" s="15">
        <v>48</v>
      </c>
      <c r="N13" s="10">
        <v>-200</v>
      </c>
      <c r="O13" s="10">
        <v>-400</v>
      </c>
      <c r="P13" s="10">
        <v>-600</v>
      </c>
      <c r="Q13" s="10">
        <v>-800</v>
      </c>
      <c r="R13" s="10">
        <v>-1000</v>
      </c>
      <c r="S13" s="10">
        <v>-1200</v>
      </c>
      <c r="T13" s="10">
        <v>100</v>
      </c>
      <c r="U13" s="10">
        <v>-1600</v>
      </c>
    </row>
    <row r="14" spans="1:21" x14ac:dyDescent="0.3">
      <c r="G14" s="39"/>
      <c r="H14" s="15">
        <v>50</v>
      </c>
      <c r="I14" s="16">
        <v>2000</v>
      </c>
      <c r="J14" s="16">
        <v>0</v>
      </c>
      <c r="L14" s="39"/>
      <c r="M14" s="15">
        <v>50</v>
      </c>
      <c r="N14" s="10">
        <v>-400</v>
      </c>
      <c r="O14" s="10">
        <v>-600</v>
      </c>
      <c r="P14" s="10">
        <v>-800</v>
      </c>
      <c r="Q14" s="10">
        <v>-1000</v>
      </c>
      <c r="R14" s="10">
        <v>-1200</v>
      </c>
      <c r="S14" s="10">
        <v>-1400</v>
      </c>
      <c r="T14" s="10">
        <v>-100</v>
      </c>
      <c r="U14" s="10">
        <v>-1800</v>
      </c>
    </row>
    <row r="15" spans="1:21" x14ac:dyDescent="0.3">
      <c r="G15" s="40"/>
      <c r="H15" s="15">
        <v>52</v>
      </c>
      <c r="I15" s="16">
        <v>1800</v>
      </c>
      <c r="J15" s="16">
        <v>-200</v>
      </c>
      <c r="L15" s="40"/>
      <c r="M15" s="15">
        <v>52</v>
      </c>
      <c r="N15" s="10">
        <v>-600</v>
      </c>
      <c r="O15" s="10">
        <v>-800</v>
      </c>
      <c r="P15" s="10">
        <v>-1000</v>
      </c>
      <c r="Q15" s="10">
        <v>-1200</v>
      </c>
      <c r="R15" s="10">
        <v>-1400</v>
      </c>
      <c r="S15" s="10">
        <v>-1600</v>
      </c>
      <c r="T15" s="10">
        <v>-300</v>
      </c>
      <c r="U15" s="10">
        <v>-2000</v>
      </c>
    </row>
  </sheetData>
  <mergeCells count="6">
    <mergeCell ref="A8:A13"/>
    <mergeCell ref="G1:J1"/>
    <mergeCell ref="N2:U2"/>
    <mergeCell ref="G4:G15"/>
    <mergeCell ref="L4:L15"/>
    <mergeCell ref="L1:U1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3" name="Spinner 1">
              <controlPr defaultSize="0" autoPict="0">
                <anchor moveWithCells="1" sizeWithCells="1">
                  <from>
                    <xdr:col>3</xdr:col>
                    <xdr:colOff>30480</xdr:colOff>
                    <xdr:row>0</xdr:row>
                    <xdr:rowOff>22860</xdr:rowOff>
                  </from>
                  <to>
                    <xdr:col>4</xdr:col>
                    <xdr:colOff>7620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4" name="Spinner 2">
              <controlPr defaultSize="0" autoPict="0">
                <anchor moveWithCells="1" sizeWithCells="1">
                  <from>
                    <xdr:col>3</xdr:col>
                    <xdr:colOff>22860</xdr:colOff>
                    <xdr:row>1</xdr:row>
                    <xdr:rowOff>15240</xdr:rowOff>
                  </from>
                  <to>
                    <xdr:col>4</xdr:col>
                    <xdr:colOff>7620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5" name="Spinner 3">
              <controlPr defaultSize="0" autoPict="0">
                <anchor moveWithCells="1" sizeWithCells="1">
                  <from>
                    <xdr:col>3</xdr:col>
                    <xdr:colOff>15240</xdr:colOff>
                    <xdr:row>2</xdr:row>
                    <xdr:rowOff>7620</xdr:rowOff>
                  </from>
                  <to>
                    <xdr:col>4</xdr:col>
                    <xdr:colOff>7620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6" name="Spinner 4">
              <controlPr defaultSize="0" autoPict="0">
                <anchor moveWithCells="1" sizeWithCells="1">
                  <from>
                    <xdr:col>3</xdr:col>
                    <xdr:colOff>15240</xdr:colOff>
                    <xdr:row>7</xdr:row>
                    <xdr:rowOff>7620</xdr:rowOff>
                  </from>
                  <to>
                    <xdr:col>3</xdr:col>
                    <xdr:colOff>464820</xdr:colOff>
                    <xdr:row>8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BDD98-BE31-4485-8A53-30250483B8A2}">
  <sheetPr>
    <outlinePr summaryBelow="0"/>
  </sheetPr>
  <dimension ref="B1:H19"/>
  <sheetViews>
    <sheetView showGridLines="0" workbookViewId="0">
      <selection activeCell="I20" sqref="I20"/>
    </sheetView>
  </sheetViews>
  <sheetFormatPr defaultRowHeight="14.4" outlineLevelRow="1" outlineLevelCol="1" x14ac:dyDescent="0.3"/>
  <cols>
    <col min="3" max="3" width="10" bestFit="1" customWidth="1"/>
    <col min="4" max="8" width="13.109375" bestFit="1" customWidth="1" outlineLevel="1"/>
  </cols>
  <sheetData>
    <row r="1" spans="2:8" ht="15" thickBot="1" x14ac:dyDescent="0.35"/>
    <row r="2" spans="2:8" ht="15.6" x14ac:dyDescent="0.3">
      <c r="B2" s="21" t="s">
        <v>44</v>
      </c>
      <c r="C2" s="21"/>
      <c r="D2" s="26"/>
      <c r="E2" s="26"/>
      <c r="F2" s="26"/>
      <c r="G2" s="26"/>
      <c r="H2" s="26"/>
    </row>
    <row r="3" spans="2:8" ht="15.6" collapsed="1" x14ac:dyDescent="0.3">
      <c r="B3" s="20"/>
      <c r="C3" s="20"/>
      <c r="D3" s="27" t="s">
        <v>46</v>
      </c>
      <c r="E3" s="27" t="s">
        <v>40</v>
      </c>
      <c r="F3" s="27" t="s">
        <v>42</v>
      </c>
      <c r="G3" s="27" t="s">
        <v>28</v>
      </c>
      <c r="H3" s="27" t="s">
        <v>29</v>
      </c>
    </row>
    <row r="4" spans="2:8" ht="61.2" hidden="1" outlineLevel="1" x14ac:dyDescent="0.3">
      <c r="B4" s="23"/>
      <c r="C4" s="23"/>
      <c r="E4" s="29" t="s">
        <v>41</v>
      </c>
      <c r="F4" s="29" t="s">
        <v>41</v>
      </c>
      <c r="G4" s="29" t="s">
        <v>41</v>
      </c>
      <c r="H4" s="29" t="s">
        <v>43</v>
      </c>
    </row>
    <row r="5" spans="2:8" x14ac:dyDescent="0.3">
      <c r="B5" s="24" t="s">
        <v>45</v>
      </c>
      <c r="C5" s="24"/>
      <c r="D5" s="22"/>
      <c r="E5" s="22"/>
      <c r="F5" s="22"/>
      <c r="G5" s="22"/>
      <c r="H5" s="22"/>
    </row>
    <row r="6" spans="2:8" outlineLevel="1" x14ac:dyDescent="0.3">
      <c r="B6" s="23"/>
      <c r="C6" s="23" t="s">
        <v>25</v>
      </c>
      <c r="D6">
        <v>40</v>
      </c>
      <c r="E6" s="28">
        <v>40</v>
      </c>
      <c r="F6" s="28">
        <v>100</v>
      </c>
      <c r="G6" s="28">
        <v>200</v>
      </c>
      <c r="H6" s="28">
        <v>40</v>
      </c>
    </row>
    <row r="7" spans="2:8" outlineLevel="1" x14ac:dyDescent="0.3">
      <c r="B7" s="23"/>
      <c r="C7" s="23" t="s">
        <v>51</v>
      </c>
      <c r="D7">
        <v>100</v>
      </c>
      <c r="E7" s="28">
        <v>100</v>
      </c>
      <c r="F7" s="28">
        <v>90</v>
      </c>
      <c r="G7" s="28">
        <v>120</v>
      </c>
      <c r="H7" s="28">
        <v>60</v>
      </c>
    </row>
    <row r="8" spans="2:8" outlineLevel="1" x14ac:dyDescent="0.3">
      <c r="B8" s="23"/>
      <c r="C8" s="23" t="s">
        <v>52</v>
      </c>
      <c r="D8">
        <v>50</v>
      </c>
      <c r="E8" s="28">
        <v>50</v>
      </c>
      <c r="F8" s="28">
        <v>60</v>
      </c>
      <c r="G8" s="28">
        <v>70</v>
      </c>
      <c r="H8" s="28">
        <v>50</v>
      </c>
    </row>
    <row r="9" spans="2:8" outlineLevel="1" x14ac:dyDescent="0.3">
      <c r="B9" s="23"/>
      <c r="C9" s="23" t="s">
        <v>2</v>
      </c>
      <c r="D9">
        <v>1900</v>
      </c>
      <c r="E9" s="28">
        <v>1900</v>
      </c>
      <c r="F9" s="28">
        <v>2000</v>
      </c>
      <c r="G9" s="28">
        <v>2500</v>
      </c>
      <c r="H9" s="28">
        <v>1900</v>
      </c>
    </row>
    <row r="10" spans="2:8" x14ac:dyDescent="0.3">
      <c r="B10" s="24" t="s">
        <v>47</v>
      </c>
      <c r="C10" s="24"/>
      <c r="D10" s="22"/>
      <c r="E10" s="22"/>
      <c r="F10" s="22"/>
      <c r="G10" s="22"/>
      <c r="H10" s="22"/>
    </row>
    <row r="11" spans="2:8" outlineLevel="1" x14ac:dyDescent="0.3">
      <c r="B11" s="23"/>
      <c r="C11" s="23" t="s">
        <v>15</v>
      </c>
      <c r="D11">
        <v>40</v>
      </c>
      <c r="E11">
        <v>40</v>
      </c>
      <c r="F11">
        <v>100</v>
      </c>
      <c r="G11">
        <v>200</v>
      </c>
      <c r="H11">
        <v>40</v>
      </c>
    </row>
    <row r="12" spans="2:8" outlineLevel="1" x14ac:dyDescent="0.3">
      <c r="B12" s="23"/>
      <c r="C12" s="23" t="s">
        <v>14</v>
      </c>
      <c r="D12">
        <v>4000</v>
      </c>
      <c r="E12">
        <v>4000</v>
      </c>
      <c r="F12">
        <v>9000</v>
      </c>
      <c r="G12">
        <v>24000</v>
      </c>
      <c r="H12">
        <v>2400</v>
      </c>
    </row>
    <row r="13" spans="2:8" outlineLevel="1" x14ac:dyDescent="0.3">
      <c r="B13" s="23"/>
      <c r="C13" s="23" t="s">
        <v>16</v>
      </c>
      <c r="D13">
        <v>2000</v>
      </c>
      <c r="E13">
        <v>2000</v>
      </c>
      <c r="F13">
        <v>6000</v>
      </c>
      <c r="G13">
        <v>14000</v>
      </c>
      <c r="H13">
        <v>2000</v>
      </c>
    </row>
    <row r="14" spans="2:8" outlineLevel="1" x14ac:dyDescent="0.3">
      <c r="B14" s="23"/>
      <c r="C14" s="23" t="s">
        <v>19</v>
      </c>
      <c r="D14">
        <v>2000</v>
      </c>
      <c r="E14">
        <v>2000</v>
      </c>
      <c r="F14">
        <v>3000</v>
      </c>
      <c r="G14">
        <v>10000</v>
      </c>
      <c r="H14">
        <v>400</v>
      </c>
    </row>
    <row r="15" spans="2:8" outlineLevel="1" x14ac:dyDescent="0.3">
      <c r="B15" s="23"/>
      <c r="C15" s="23" t="s">
        <v>53</v>
      </c>
      <c r="D15">
        <v>1900</v>
      </c>
      <c r="E15">
        <v>1900</v>
      </c>
      <c r="F15">
        <v>2000</v>
      </c>
      <c r="G15">
        <v>2500</v>
      </c>
      <c r="H15">
        <v>1900</v>
      </c>
    </row>
    <row r="16" spans="2:8" ht="15" outlineLevel="1" thickBot="1" x14ac:dyDescent="0.35">
      <c r="B16" s="25"/>
      <c r="C16" s="25" t="s">
        <v>17</v>
      </c>
      <c r="D16" s="8">
        <v>100</v>
      </c>
      <c r="E16" s="8">
        <v>100</v>
      </c>
      <c r="F16" s="8">
        <v>1000</v>
      </c>
      <c r="G16" s="8">
        <v>7500</v>
      </c>
      <c r="H16" s="8">
        <v>-1500</v>
      </c>
    </row>
    <row r="17" spans="2:2" x14ac:dyDescent="0.3">
      <c r="B17" t="s">
        <v>48</v>
      </c>
    </row>
    <row r="18" spans="2:2" x14ac:dyDescent="0.3">
      <c r="B18" t="s">
        <v>49</v>
      </c>
    </row>
    <row r="19" spans="2:2" x14ac:dyDescent="0.3">
      <c r="B19" t="s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B8190-22D4-46FB-A678-8647203FC5D8}">
  <dimension ref="E4:M20"/>
  <sheetViews>
    <sheetView tabSelected="1" workbookViewId="0">
      <selection activeCell="I16" sqref="I16"/>
    </sheetView>
  </sheetViews>
  <sheetFormatPr defaultRowHeight="14.4" x14ac:dyDescent="0.3"/>
  <sheetData>
    <row r="4" spans="5:13" x14ac:dyDescent="0.3">
      <c r="K4" t="s">
        <v>27</v>
      </c>
      <c r="L4" t="s">
        <v>28</v>
      </c>
      <c r="M4" t="s">
        <v>29</v>
      </c>
    </row>
    <row r="5" spans="5:13" x14ac:dyDescent="0.3">
      <c r="F5" s="18" t="s">
        <v>26</v>
      </c>
      <c r="J5" t="s">
        <v>25</v>
      </c>
      <c r="K5">
        <v>100</v>
      </c>
      <c r="L5">
        <v>200</v>
      </c>
      <c r="M5">
        <v>40</v>
      </c>
    </row>
    <row r="6" spans="5:13" x14ac:dyDescent="0.3">
      <c r="E6" s="19" t="s">
        <v>25</v>
      </c>
      <c r="F6" s="19">
        <v>40</v>
      </c>
      <c r="J6" t="s">
        <v>10</v>
      </c>
      <c r="K6">
        <v>90</v>
      </c>
      <c r="L6">
        <v>120</v>
      </c>
      <c r="M6">
        <v>60</v>
      </c>
    </row>
    <row r="7" spans="5:13" x14ac:dyDescent="0.3">
      <c r="E7" s="19" t="s">
        <v>4</v>
      </c>
      <c r="F7" s="19">
        <v>100</v>
      </c>
      <c r="J7" t="s">
        <v>9</v>
      </c>
      <c r="K7">
        <v>60</v>
      </c>
      <c r="L7">
        <v>70</v>
      </c>
      <c r="M7">
        <v>50</v>
      </c>
    </row>
    <row r="8" spans="5:13" x14ac:dyDescent="0.3">
      <c r="E8" s="19" t="s">
        <v>3</v>
      </c>
      <c r="F8" s="19">
        <v>50</v>
      </c>
      <c r="J8" t="s">
        <v>2</v>
      </c>
      <c r="K8">
        <v>2000</v>
      </c>
      <c r="L8">
        <v>2500</v>
      </c>
      <c r="M8">
        <v>1900</v>
      </c>
    </row>
    <row r="9" spans="5:13" x14ac:dyDescent="0.3">
      <c r="E9" s="19" t="s">
        <v>2</v>
      </c>
      <c r="F9" s="19">
        <v>1900</v>
      </c>
    </row>
    <row r="15" spans="5:13" x14ac:dyDescent="0.3">
      <c r="E15" s="17" t="s">
        <v>15</v>
      </c>
      <c r="F15" s="17">
        <f>F6</f>
        <v>40</v>
      </c>
    </row>
    <row r="16" spans="5:13" x14ac:dyDescent="0.3">
      <c r="E16" s="17" t="s">
        <v>14</v>
      </c>
      <c r="F16" s="17">
        <f>F6*F7</f>
        <v>4000</v>
      </c>
    </row>
    <row r="17" spans="5:6" x14ac:dyDescent="0.3">
      <c r="E17" s="17" t="s">
        <v>16</v>
      </c>
      <c r="F17" s="17">
        <f>F8*F6</f>
        <v>2000</v>
      </c>
    </row>
    <row r="18" spans="5:6" x14ac:dyDescent="0.3">
      <c r="E18" s="17" t="s">
        <v>19</v>
      </c>
      <c r="F18" s="17">
        <f>F16-F17</f>
        <v>2000</v>
      </c>
    </row>
    <row r="19" spans="5:6" x14ac:dyDescent="0.3">
      <c r="E19" s="17" t="s">
        <v>1</v>
      </c>
      <c r="F19" s="17">
        <f>F9</f>
        <v>1900</v>
      </c>
    </row>
    <row r="20" spans="5:6" x14ac:dyDescent="0.3">
      <c r="E20" s="17" t="s">
        <v>17</v>
      </c>
      <c r="F20" s="17">
        <f>F18-F19</f>
        <v>100</v>
      </c>
    </row>
  </sheetData>
  <scenarios current="0" show="0" sqref="F15:F20">
    <scenario name="Original Data" locked="1" count="4" user="Sumiran Gurung" comment="Created by Sumiran Gurung on 04-02-2026_x000a_Modified by Sumiran Gurung on 04-02-2026">
      <inputCells r="F6" val="40"/>
      <inputCells r="F7" val="100"/>
      <inputCells r="F8" val="50"/>
      <inputCells r="F9" val="1900"/>
    </scenario>
    <scenario name="Normal" locked="1" count="4" user="Sumiran Gurung" comment="Created by Sumiran Gurung on 04-02-2026_x000a_Modified by Sumiran Gurung on 04-02-2026">
      <inputCells r="F6" val="100"/>
      <inputCells r="F7" val="90"/>
      <inputCells r="F8" val="60"/>
      <inputCells r="F9" val="2000"/>
    </scenario>
    <scenario name="Boom" locked="1" count="4" user="Sumiran Gurung" comment="Created by Sumiran Gurung on 04-02-2026_x000a_Modified by Sumiran Gurung on 04-02-2026">
      <inputCells r="F6" val="200"/>
      <inputCells r="F7" val="120"/>
      <inputCells r="F8" val="70"/>
      <inputCells r="F9" val="2500"/>
    </scenario>
    <scenario name="Recession" locked="1" count="4" user="Sumiran Gurung" comment="Created by Sumiran Gurung on 04-02-2026">
      <inputCells r="F6" val="40"/>
      <inputCells r="F7" val="60"/>
      <inputCells r="F8" val="50"/>
      <inputCells r="F9" val="1900"/>
    </scenario>
  </scenario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5208F-E15D-4885-9AD1-B2B3B7D8E0C7}">
  <sheetPr>
    <outlinePr summaryBelow="0"/>
  </sheetPr>
  <dimension ref="B1:H19"/>
  <sheetViews>
    <sheetView showGridLines="0" topLeftCell="A2" workbookViewId="0">
      <selection activeCell="F28" sqref="F28"/>
    </sheetView>
  </sheetViews>
  <sheetFormatPr defaultRowHeight="14.4" outlineLevelRow="1" outlineLevelCol="1" x14ac:dyDescent="0.3"/>
  <cols>
    <col min="3" max="3" width="5.88671875" bestFit="1" customWidth="1"/>
    <col min="4" max="8" width="13.109375" bestFit="1" customWidth="1" outlineLevel="1"/>
  </cols>
  <sheetData>
    <row r="1" spans="2:8" ht="15" thickBot="1" x14ac:dyDescent="0.35"/>
    <row r="2" spans="2:8" ht="15.6" x14ac:dyDescent="0.3">
      <c r="B2" s="21" t="s">
        <v>44</v>
      </c>
      <c r="C2" s="21"/>
      <c r="D2" s="26"/>
      <c r="E2" s="26"/>
      <c r="F2" s="26"/>
      <c r="G2" s="26"/>
      <c r="H2" s="26"/>
    </row>
    <row r="3" spans="2:8" ht="15.6" collapsed="1" x14ac:dyDescent="0.3">
      <c r="B3" s="20"/>
      <c r="C3" s="20"/>
      <c r="D3" s="27" t="s">
        <v>46</v>
      </c>
      <c r="E3" s="27" t="s">
        <v>40</v>
      </c>
      <c r="F3" s="27" t="s">
        <v>42</v>
      </c>
      <c r="G3" s="27" t="s">
        <v>28</v>
      </c>
      <c r="H3" s="27" t="s">
        <v>29</v>
      </c>
    </row>
    <row r="4" spans="2:8" ht="61.2" hidden="1" outlineLevel="1" x14ac:dyDescent="0.3">
      <c r="B4" s="23"/>
      <c r="C4" s="23"/>
      <c r="E4" s="29" t="s">
        <v>41</v>
      </c>
      <c r="F4" s="29" t="s">
        <v>41</v>
      </c>
      <c r="G4" s="29" t="s">
        <v>41</v>
      </c>
      <c r="H4" s="29" t="s">
        <v>43</v>
      </c>
    </row>
    <row r="5" spans="2:8" x14ac:dyDescent="0.3">
      <c r="B5" s="24" t="s">
        <v>45</v>
      </c>
      <c r="C5" s="24"/>
      <c r="D5" s="22"/>
      <c r="E5" s="22"/>
      <c r="F5" s="22"/>
      <c r="G5" s="22"/>
      <c r="H5" s="22"/>
    </row>
    <row r="6" spans="2:8" outlineLevel="1" x14ac:dyDescent="0.3">
      <c r="B6" s="23"/>
      <c r="C6" s="23" t="s">
        <v>30</v>
      </c>
      <c r="D6">
        <v>40</v>
      </c>
      <c r="E6" s="28">
        <v>40</v>
      </c>
      <c r="F6" s="28">
        <v>100</v>
      </c>
      <c r="G6" s="28">
        <v>200</v>
      </c>
      <c r="H6" s="28">
        <v>40</v>
      </c>
    </row>
    <row r="7" spans="2:8" outlineLevel="1" x14ac:dyDescent="0.3">
      <c r="B7" s="23"/>
      <c r="C7" s="23" t="s">
        <v>31</v>
      </c>
      <c r="D7">
        <v>100</v>
      </c>
      <c r="E7" s="28">
        <v>100</v>
      </c>
      <c r="F7" s="28">
        <v>90</v>
      </c>
      <c r="G7" s="28">
        <v>120</v>
      </c>
      <c r="H7" s="28">
        <v>60</v>
      </c>
    </row>
    <row r="8" spans="2:8" outlineLevel="1" x14ac:dyDescent="0.3">
      <c r="B8" s="23"/>
      <c r="C8" s="23" t="s">
        <v>32</v>
      </c>
      <c r="D8">
        <v>50</v>
      </c>
      <c r="E8" s="28">
        <v>50</v>
      </c>
      <c r="F8" s="28">
        <v>60</v>
      </c>
      <c r="G8" s="28">
        <v>70</v>
      </c>
      <c r="H8" s="28">
        <v>50</v>
      </c>
    </row>
    <row r="9" spans="2:8" outlineLevel="1" x14ac:dyDescent="0.3">
      <c r="B9" s="23"/>
      <c r="C9" s="23" t="s">
        <v>33</v>
      </c>
      <c r="D9">
        <v>1900</v>
      </c>
      <c r="E9" s="28">
        <v>1900</v>
      </c>
      <c r="F9" s="28">
        <v>2000</v>
      </c>
      <c r="G9" s="28">
        <v>2500</v>
      </c>
      <c r="H9" s="28">
        <v>1900</v>
      </c>
    </row>
    <row r="10" spans="2:8" x14ac:dyDescent="0.3">
      <c r="B10" s="24" t="s">
        <v>47</v>
      </c>
      <c r="C10" s="24"/>
      <c r="D10" s="22"/>
      <c r="E10" s="22"/>
      <c r="F10" s="22"/>
      <c r="G10" s="22"/>
      <c r="H10" s="22"/>
    </row>
    <row r="11" spans="2:8" outlineLevel="1" x14ac:dyDescent="0.3">
      <c r="B11" s="23"/>
      <c r="C11" s="23" t="s">
        <v>34</v>
      </c>
      <c r="D11">
        <v>40</v>
      </c>
      <c r="E11">
        <v>40</v>
      </c>
      <c r="F11">
        <v>100</v>
      </c>
      <c r="G11">
        <v>200</v>
      </c>
      <c r="H11">
        <v>40</v>
      </c>
    </row>
    <row r="12" spans="2:8" outlineLevel="1" x14ac:dyDescent="0.3">
      <c r="B12" s="23"/>
      <c r="C12" s="23" t="s">
        <v>35</v>
      </c>
      <c r="D12">
        <v>4000</v>
      </c>
      <c r="E12">
        <v>4000</v>
      </c>
      <c r="F12">
        <v>9000</v>
      </c>
      <c r="G12">
        <v>24000</v>
      </c>
      <c r="H12">
        <v>2400</v>
      </c>
    </row>
    <row r="13" spans="2:8" outlineLevel="1" x14ac:dyDescent="0.3">
      <c r="B13" s="23"/>
      <c r="C13" s="23" t="s">
        <v>36</v>
      </c>
      <c r="D13">
        <v>2000</v>
      </c>
      <c r="E13">
        <v>2000</v>
      </c>
      <c r="F13">
        <v>6000</v>
      </c>
      <c r="G13">
        <v>14000</v>
      </c>
      <c r="H13">
        <v>2000</v>
      </c>
    </row>
    <row r="14" spans="2:8" outlineLevel="1" x14ac:dyDescent="0.3">
      <c r="B14" s="23"/>
      <c r="C14" s="23" t="s">
        <v>37</v>
      </c>
      <c r="D14">
        <v>2000</v>
      </c>
      <c r="E14">
        <v>2000</v>
      </c>
      <c r="F14">
        <v>3000</v>
      </c>
      <c r="G14">
        <v>10000</v>
      </c>
      <c r="H14">
        <v>400</v>
      </c>
    </row>
    <row r="15" spans="2:8" outlineLevel="1" x14ac:dyDescent="0.3">
      <c r="B15" s="23"/>
      <c r="C15" s="23" t="s">
        <v>38</v>
      </c>
      <c r="D15">
        <v>1900</v>
      </c>
      <c r="E15">
        <v>1900</v>
      </c>
      <c r="F15">
        <v>2000</v>
      </c>
      <c r="G15">
        <v>2500</v>
      </c>
      <c r="H15">
        <v>1900</v>
      </c>
    </row>
    <row r="16" spans="2:8" ht="15" outlineLevel="1" thickBot="1" x14ac:dyDescent="0.35">
      <c r="B16" s="25"/>
      <c r="C16" s="25" t="s">
        <v>39</v>
      </c>
      <c r="D16" s="8">
        <v>100</v>
      </c>
      <c r="E16" s="8">
        <v>100</v>
      </c>
      <c r="F16" s="8">
        <v>1000</v>
      </c>
      <c r="G16" s="8">
        <v>7500</v>
      </c>
      <c r="H16" s="8">
        <v>-1500</v>
      </c>
    </row>
    <row r="17" spans="2:2" x14ac:dyDescent="0.3">
      <c r="B17" t="s">
        <v>48</v>
      </c>
    </row>
    <row r="18" spans="2:2" x14ac:dyDescent="0.3">
      <c r="B18" t="s">
        <v>49</v>
      </c>
    </row>
    <row r="19" spans="2:2" x14ac:dyDescent="0.3">
      <c r="B1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HeadingPairs>
  <TitlesOfParts>
    <vt:vector size="15" baseType="lpstr">
      <vt:lpstr>BEP MODE</vt:lpstr>
      <vt:lpstr>Sensitivity</vt:lpstr>
      <vt:lpstr>Scenario Summary 2</vt:lpstr>
      <vt:lpstr>Scenario</vt:lpstr>
      <vt:lpstr>Scenario Summary</vt:lpstr>
      <vt:lpstr>FC</vt:lpstr>
      <vt:lpstr>Fixed_Cost</vt:lpstr>
      <vt:lpstr>QYT</vt:lpstr>
      <vt:lpstr>Revenue</vt:lpstr>
      <vt:lpstr>Sales</vt:lpstr>
      <vt:lpstr>SP_UNIT</vt:lpstr>
      <vt:lpstr>Tot.CM</vt:lpstr>
      <vt:lpstr>Tot.Profit</vt:lpstr>
      <vt:lpstr>Total_VC</vt:lpstr>
      <vt:lpstr>VC_UNIT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Sumiran Gurung</dc:creator>
  <cp:lastModifiedBy>Sumiran Gurung</cp:lastModifiedBy>
  <dcterms:created xsi:type="dcterms:W3CDTF">2026-02-03T03:55:37Z</dcterms:created>
  <dcterms:modified xsi:type="dcterms:W3CDTF">2026-02-04T11:42:55Z</dcterms:modified>
</cp:coreProperties>
</file>