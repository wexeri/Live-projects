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 1\MBA -2nd - Sem\MBA-Financial Modelling\"/>
    </mc:Choice>
  </mc:AlternateContent>
  <xr:revisionPtr revIDLastSave="0" documentId="13_ncr:1_{A5F97CCF-2615-4636-8CFA-EFCD9E4B4F6C}" xr6:coauthVersionLast="47" xr6:coauthVersionMax="47" xr10:uidLastSave="{00000000-0000-0000-0000-000000000000}"/>
  <bookViews>
    <workbookView xWindow="8436" yWindow="156" windowWidth="14604" windowHeight="12084" activeTab="1" xr2:uid="{47795343-5E66-4B10-B7DB-FF8D50628ECC}"/>
  </bookViews>
  <sheets>
    <sheet name="Sheet1" sheetId="1" r:id="rId1"/>
    <sheet name="Duration_MD_Convexity" sheetId="3" r:id="rId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Duration_MD_Convexity!$L$20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3" l="1"/>
  <c r="O22" i="3"/>
  <c r="O23" i="3"/>
  <c r="O24" i="3"/>
  <c r="O25" i="3"/>
  <c r="O26" i="3"/>
  <c r="O27" i="3"/>
  <c r="O28" i="3"/>
  <c r="O29" i="3"/>
  <c r="O30" i="3"/>
  <c r="N25" i="3"/>
  <c r="K22" i="3"/>
  <c r="K23" i="3"/>
  <c r="K24" i="3"/>
  <c r="K25" i="3"/>
  <c r="K26" i="3"/>
  <c r="K27" i="3"/>
  <c r="K28" i="3"/>
  <c r="K29" i="3"/>
  <c r="K30" i="3"/>
  <c r="K21" i="3"/>
  <c r="K20" i="3"/>
  <c r="L20" i="3"/>
  <c r="N21" i="3"/>
  <c r="N22" i="3"/>
  <c r="N23" i="3"/>
  <c r="N24" i="3"/>
  <c r="N26" i="3"/>
  <c r="N27" i="3"/>
  <c r="N28" i="3"/>
  <c r="N29" i="3"/>
  <c r="N30" i="3"/>
  <c r="J7" i="3" l="1"/>
  <c r="M20" i="3" s="1"/>
  <c r="C27" i="3"/>
  <c r="C25" i="3"/>
  <c r="D20" i="3"/>
  <c r="E20" i="3" s="1"/>
  <c r="E19" i="3"/>
  <c r="D19" i="3"/>
  <c r="D18" i="3"/>
  <c r="E18" i="3" s="1"/>
  <c r="D17" i="3"/>
  <c r="E17" i="3" s="1"/>
  <c r="E16" i="3"/>
  <c r="D16" i="3"/>
  <c r="D22" i="3" s="1"/>
  <c r="C25" i="1"/>
  <c r="J7" i="1"/>
  <c r="F11" i="1"/>
  <c r="C27" i="1"/>
  <c r="G22" i="1"/>
  <c r="G17" i="1"/>
  <c r="G18" i="1"/>
  <c r="G19" i="1"/>
  <c r="G20" i="1"/>
  <c r="G16" i="1"/>
  <c r="F17" i="1"/>
  <c r="F18" i="1"/>
  <c r="F19" i="1"/>
  <c r="F20" i="1"/>
  <c r="F16" i="1"/>
  <c r="D22" i="1"/>
  <c r="E22" i="1"/>
  <c r="E17" i="1"/>
  <c r="E18" i="1"/>
  <c r="E19" i="1"/>
  <c r="E20" i="1"/>
  <c r="E16" i="1"/>
  <c r="D17" i="1"/>
  <c r="D18" i="1"/>
  <c r="D19" i="1"/>
  <c r="D20" i="1"/>
  <c r="D16" i="1"/>
  <c r="T13" i="1"/>
  <c r="N13" i="1"/>
  <c r="J8" i="1"/>
  <c r="E22" i="3" l="1"/>
  <c r="F16" i="3" s="1"/>
  <c r="G16" i="3" s="1"/>
  <c r="J8" i="3"/>
  <c r="F11" i="3"/>
  <c r="L13" i="1"/>
  <c r="F19" i="3" l="1"/>
  <c r="G19" i="3" s="1"/>
  <c r="F18" i="3"/>
  <c r="G18" i="3" s="1"/>
  <c r="F20" i="3"/>
  <c r="G20" i="3" s="1"/>
  <c r="F17" i="3"/>
  <c r="G17" i="3" s="1"/>
  <c r="G22" i="3" s="1"/>
</calcChain>
</file>

<file path=xl/sharedStrings.xml><?xml version="1.0" encoding="utf-8"?>
<sst xmlns="http://schemas.openxmlformats.org/spreadsheetml/2006/main" count="48" uniqueCount="27">
  <si>
    <t>Settlement Date</t>
  </si>
  <si>
    <t>Coupon</t>
  </si>
  <si>
    <t>Curr.Yield</t>
  </si>
  <si>
    <t>Coupons per year</t>
  </si>
  <si>
    <t>Face Value(Rs.)</t>
  </si>
  <si>
    <t>Bond Value</t>
  </si>
  <si>
    <t>Face Value (%of par value)</t>
  </si>
  <si>
    <t>Bond Price (% of face value)</t>
  </si>
  <si>
    <t>Price</t>
  </si>
  <si>
    <t>Yield</t>
  </si>
  <si>
    <t>Maturity Date</t>
  </si>
  <si>
    <t>PRICE(Settlement,maturity,rate,yld,redemption,frequency,basis)</t>
  </si>
  <si>
    <t>YIELD(Settlement,maturity,rate,pr,redemption,frequency,basis)</t>
  </si>
  <si>
    <t>Coupon rate</t>
  </si>
  <si>
    <t>YIELD</t>
  </si>
  <si>
    <t>Year</t>
  </si>
  <si>
    <t>CashFlow</t>
  </si>
  <si>
    <t>PW factor</t>
  </si>
  <si>
    <t>PV</t>
  </si>
  <si>
    <t>wt</t>
  </si>
  <si>
    <t>t*wt</t>
  </si>
  <si>
    <t>Macaulay</t>
  </si>
  <si>
    <t>Mduration</t>
  </si>
  <si>
    <t>D*=(1+Yield)/dy</t>
  </si>
  <si>
    <t>Yeild%</t>
  </si>
  <si>
    <t>Bond Price</t>
  </si>
  <si>
    <t>Δ𝑦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</si>
</sst>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3" borderId="0" xfId="0" applyFill="1"/>
    <xf numFmtId="14" fontId="0" fillId="4" borderId="0" xfId="0" applyNumberFormat="1" applyFill="1"/>
    <xf numFmtId="9" fontId="0" fillId="4" borderId="0" xfId="0" applyNumberFormat="1" applyFill="1"/>
    <xf numFmtId="0" fontId="0" fillId="4" borderId="0" xfId="0" applyFill="1"/>
    <xf numFmtId="0" fontId="2" fillId="0" borderId="2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horizontal="left" indent="2"/>
    </xf>
    <xf numFmtId="0" fontId="0" fillId="6" borderId="0" xfId="0" applyFill="1"/>
    <xf numFmtId="0" fontId="0" fillId="5" borderId="0" xfId="0" applyFill="1"/>
    <xf numFmtId="9" fontId="0" fillId="0" borderId="0" xfId="1" applyFont="1"/>
    <xf numFmtId="9" fontId="0" fillId="0" borderId="0" xfId="0" applyNumberFormat="1"/>
    <xf numFmtId="2" fontId="0" fillId="0" borderId="0" xfId="0" applyNumberFormat="1"/>
    <xf numFmtId="0" fontId="0" fillId="5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Bond</a:t>
            </a:r>
            <a:r>
              <a:rPr lang="en-IN" baseline="0"/>
              <a:t> Elasticity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 Elasticity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Duration_MD_Convexity!$K$21:$K$30</c:f>
              <c:numCache>
                <c:formatCode>0%</c:formatCode>
                <c:ptCount val="10"/>
                <c:pt idx="0">
                  <c:v>-9.0200000000000002E-2</c:v>
                </c:pt>
                <c:pt idx="1">
                  <c:v>-8.0199999999999994E-2</c:v>
                </c:pt>
                <c:pt idx="2">
                  <c:v>-3.0199999999999991E-2</c:v>
                </c:pt>
                <c:pt idx="3">
                  <c:v>-2.0199999999999996E-2</c:v>
                </c:pt>
                <c:pt idx="4">
                  <c:v>-1.0200000000000001E-2</c:v>
                </c:pt>
                <c:pt idx="5">
                  <c:v>-1.9999999999999185E-4</c:v>
                </c:pt>
                <c:pt idx="6">
                  <c:v>4.9799999999999997E-2</c:v>
                </c:pt>
                <c:pt idx="7">
                  <c:v>9.9800000000000014E-2</c:v>
                </c:pt>
                <c:pt idx="8">
                  <c:v>0.10979999999999999</c:v>
                </c:pt>
                <c:pt idx="9">
                  <c:v>0.1198</c:v>
                </c:pt>
              </c:numCache>
            </c:numRef>
          </c:xVal>
          <c:yVal>
            <c:numRef>
              <c:f>Duration_MD_Convexity!$N$21:$N$30</c:f>
              <c:numCache>
                <c:formatCode>General</c:formatCode>
                <c:ptCount val="10"/>
                <c:pt idx="0">
                  <c:v>0.43789840802573127</c:v>
                </c:pt>
                <c:pt idx="1">
                  <c:v>0.37812105967682552</c:v>
                </c:pt>
                <c:pt idx="2">
                  <c:v>0.12385754877715992</c:v>
                </c:pt>
                <c:pt idx="3">
                  <c:v>8.0673102556179252E-2</c:v>
                </c:pt>
                <c:pt idx="4">
                  <c:v>3.9684354398462053E-2</c:v>
                </c:pt>
                <c:pt idx="5">
                  <c:v>7.5834479696894178E-4</c:v>
                </c:pt>
                <c:pt idx="6">
                  <c:v>-0.16697651457246118</c:v>
                </c:pt>
                <c:pt idx="7">
                  <c:v>-0.29852966071040626</c:v>
                </c:pt>
                <c:pt idx="8">
                  <c:v>-0.32134401171821231</c:v>
                </c:pt>
                <c:pt idx="9">
                  <c:v>-0.34313902174642369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7-41FD-B70F-044B9B175D25}"/>
            </c:ext>
          </c:extLst>
        </c:ser>
        <c:ser>
          <c:idx val="1"/>
          <c:order val="1"/>
          <c:tx>
            <c:v>Duration Based 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Duration_MD_Convexity!$K$21:$K$30</c:f>
              <c:numCache>
                <c:formatCode>0%</c:formatCode>
                <c:ptCount val="10"/>
                <c:pt idx="0">
                  <c:v>-9.0200000000000002E-2</c:v>
                </c:pt>
                <c:pt idx="1">
                  <c:v>-8.0199999999999994E-2</c:v>
                </c:pt>
                <c:pt idx="2">
                  <c:v>-3.0199999999999991E-2</c:v>
                </c:pt>
                <c:pt idx="3">
                  <c:v>-2.0199999999999996E-2</c:v>
                </c:pt>
                <c:pt idx="4">
                  <c:v>-1.0200000000000001E-2</c:v>
                </c:pt>
                <c:pt idx="5">
                  <c:v>-1.9999999999999185E-4</c:v>
                </c:pt>
                <c:pt idx="6">
                  <c:v>4.9799999999999997E-2</c:v>
                </c:pt>
                <c:pt idx="7">
                  <c:v>9.9800000000000014E-2</c:v>
                </c:pt>
                <c:pt idx="8">
                  <c:v>0.10979999999999999</c:v>
                </c:pt>
                <c:pt idx="9">
                  <c:v>0.1198</c:v>
                </c:pt>
              </c:numCache>
            </c:numRef>
          </c:xVal>
          <c:yVal>
            <c:numRef>
              <c:f>Duration_MD_Convexity!$O$21:$O$30</c:f>
              <c:numCache>
                <c:formatCode>General</c:formatCode>
                <c:ptCount val="10"/>
                <c:pt idx="0">
                  <c:v>0.34183881189945592</c:v>
                </c:pt>
                <c:pt idx="1">
                  <c:v>0.30394093918332998</c:v>
                </c:pt>
                <c:pt idx="2">
                  <c:v>0.11445157560270028</c:v>
                </c:pt>
                <c:pt idx="3">
                  <c:v>7.6553702886574371E-2</c:v>
                </c:pt>
                <c:pt idx="4">
                  <c:v>3.8655830170448456E-2</c:v>
                </c:pt>
                <c:pt idx="5">
                  <c:v>7.579574543224878E-4</c:v>
                </c:pt>
                <c:pt idx="6">
                  <c:v>-0.18873140612630715</c:v>
                </c:pt>
                <c:pt idx="7">
                  <c:v>-0.37822076970693685</c:v>
                </c:pt>
                <c:pt idx="8">
                  <c:v>-0.41611864242306273</c:v>
                </c:pt>
                <c:pt idx="9">
                  <c:v>-0.45401651513918867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7-41FD-B70F-044B9B17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311327"/>
        <c:axId val="562429967"/>
      </c:scatterChart>
      <c:valAx>
        <c:axId val="75131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29967"/>
        <c:crosses val="autoZero"/>
        <c:crossBetween val="midCat"/>
      </c:valAx>
      <c:valAx>
        <c:axId val="56242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1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17</xdr:row>
      <xdr:rowOff>10886</xdr:rowOff>
    </xdr:from>
    <xdr:ext cx="794657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D941F9A-F8CB-BCA9-2558-3A677115D1B7}"/>
                </a:ext>
              </a:extLst>
            </xdr:cNvPr>
            <xdr:cNvSpPr txBox="1"/>
          </xdr:nvSpPr>
          <xdr:spPr>
            <a:xfrm>
              <a:off x="11658600" y="3156857"/>
              <a:ext cx="794657" cy="381000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IN" sz="1100">
                                <a:latin typeface="Cambria Math" panose="02040503050406030204" pitchFamily="18" charset="0"/>
                              </a:rPr>
                              <m:t>Δ</m:t>
                            </m:r>
                          </m:e>
                          <m:sub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sub>
                        </m:sSub>
                      </m:num>
                      <m:den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𝑃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D941F9A-F8CB-BCA9-2558-3A677115D1B7}"/>
                </a:ext>
              </a:extLst>
            </xdr:cNvPr>
            <xdr:cNvSpPr txBox="1"/>
          </xdr:nvSpPr>
          <xdr:spPr>
            <a:xfrm>
              <a:off x="11658600" y="3156857"/>
              <a:ext cx="794657" cy="381000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</a:rPr>
                <a:t>Δ_𝑃/𝑃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14</xdr:col>
      <xdr:colOff>3265</xdr:colOff>
      <xdr:row>17</xdr:row>
      <xdr:rowOff>0</xdr:rowOff>
    </xdr:from>
    <xdr:ext cx="1074421" cy="3592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D40F54B-C7B7-0EA7-DC5B-A113739F0584}"/>
                </a:ext>
              </a:extLst>
            </xdr:cNvPr>
            <xdr:cNvSpPr txBox="1"/>
          </xdr:nvSpPr>
          <xdr:spPr>
            <a:xfrm rot="10800000" flipV="1">
              <a:off x="12445636" y="3145971"/>
              <a:ext cx="1074421" cy="359229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∗ </m:t>
                    </m:r>
                    <m:r>
                      <a:rPr lang="en-IN" sz="1100" i="0">
                        <a:latin typeface="Cambria Math" panose="02040503050406030204" pitchFamily="18" charset="0"/>
                      </a:rPr>
                      <m:t>×</m:t>
                    </m:r>
                    <m:r>
                      <m:rPr>
                        <m:sty m:val="p"/>
                      </m:rPr>
                      <a:rPr lang="en-IN" sz="1100" i="0">
                        <a:latin typeface="Cambria Math" panose="02040503050406030204" pitchFamily="18" charset="0"/>
                      </a:rPr>
                      <m:t>Δ</m:t>
                    </m:r>
                    <m:r>
                      <a:rPr lang="en-IN" sz="110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D40F54B-C7B7-0EA7-DC5B-A113739F0584}"/>
                </a:ext>
              </a:extLst>
            </xdr:cNvPr>
            <xdr:cNvSpPr txBox="1"/>
          </xdr:nvSpPr>
          <xdr:spPr>
            <a:xfrm rot="10800000" flipV="1">
              <a:off x="12445636" y="3145971"/>
              <a:ext cx="1074421" cy="359229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</a:rPr>
                <a:t>−</a:t>
              </a:r>
              <a:r>
                <a:rPr lang="en-IN" sz="1100" b="0" i="0">
                  <a:latin typeface="Cambria Math" panose="02040503050406030204" pitchFamily="18" charset="0"/>
                </a:rPr>
                <a:t>𝐷∗ </a:t>
              </a:r>
              <a:r>
                <a:rPr lang="en-IN" sz="1100" i="0">
                  <a:latin typeface="Cambria Math" panose="02040503050406030204" pitchFamily="18" charset="0"/>
                </a:rPr>
                <a:t>×Δ𝑦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0</xdr:col>
      <xdr:colOff>402771</xdr:colOff>
      <xdr:row>13</xdr:row>
      <xdr:rowOff>97969</xdr:rowOff>
    </xdr:from>
    <xdr:to>
      <xdr:col>7</xdr:col>
      <xdr:colOff>315687</xdr:colOff>
      <xdr:row>40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52C1CE-0969-4767-C716-514A2D987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522514</xdr:colOff>
      <xdr:row>14</xdr:row>
      <xdr:rowOff>152399</xdr:rowOff>
    </xdr:from>
    <xdr:ext cx="6858000" cy="109491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875C00-E9E8-8F71-A24D-5095AA2E3187}"/>
            </a:ext>
          </a:extLst>
        </xdr:cNvPr>
        <xdr:cNvSpPr txBox="1"/>
      </xdr:nvSpPr>
      <xdr:spPr>
        <a:xfrm>
          <a:off x="14053457" y="2743199"/>
          <a:ext cx="6858000" cy="109491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IN" sz="2400" b="0" i="1">
              <a:latin typeface="Algerian" panose="04020705040A02060702" pitchFamily="82" charset="0"/>
            </a:rPr>
            <a:t>Convexity =  1 </a:t>
          </a:r>
          <a:r>
            <a:rPr lang="en-IN" sz="2400" b="0" i="1" baseline="0">
              <a:latin typeface="Algerian" panose="04020705040A02060702" pitchFamily="82" charset="0"/>
            </a:rPr>
            <a:t>      *  1     </a:t>
          </a:r>
          <a:r>
            <a:rPr lang="el-GR" sz="4400" b="0" i="1"/>
            <a:t>Σ</a:t>
          </a:r>
          <a:r>
            <a:rPr lang="en-IN" sz="2400" b="0" i="1">
              <a:latin typeface="Algerian" panose="04020705040A02060702" pitchFamily="82" charset="0"/>
            </a:rPr>
            <a:t>   CF</a:t>
          </a:r>
          <a:r>
            <a:rPr lang="en-IN" sz="2400" b="0" i="1" baseline="-25000">
              <a:latin typeface="Algerian" panose="04020705040A02060702" pitchFamily="82" charset="0"/>
            </a:rPr>
            <a:t>t </a:t>
          </a:r>
          <a:r>
            <a:rPr lang="en-IN" sz="2400" b="0" i="1">
              <a:latin typeface="Algerian" panose="04020705040A02060702" pitchFamily="82" charset="0"/>
            </a:rPr>
            <a:t>.    t(t+1)      </a:t>
          </a:r>
        </a:p>
        <a:p>
          <a:r>
            <a:rPr lang="en-IN" sz="2400" b="0" i="1">
              <a:latin typeface="Algerian" panose="04020705040A02060702" pitchFamily="82" charset="0"/>
            </a:rPr>
            <a:t>                </a:t>
          </a:r>
          <a:r>
            <a:rPr lang="en-IN" sz="2400" b="0" i="1" baseline="0">
              <a:latin typeface="Algerian" panose="04020705040A02060702" pitchFamily="82" charset="0"/>
            </a:rPr>
            <a:t>      P</a:t>
          </a:r>
          <a:r>
            <a:rPr lang="en-IN" sz="2400" b="0" i="1">
              <a:latin typeface="Algerian" panose="04020705040A02060702" pitchFamily="82" charset="0"/>
            </a:rPr>
            <a:t>(1+y)  </a:t>
          </a:r>
          <a:r>
            <a:rPr lang="en-IN" sz="2400" b="0" i="1" baseline="0">
              <a:latin typeface="Algerian" panose="04020705040A02060702" pitchFamily="82" charset="0"/>
            </a:rPr>
            <a:t>      </a:t>
          </a:r>
          <a:r>
            <a:rPr lang="en-IN" sz="2400" b="0" i="1">
              <a:latin typeface="Algerian" panose="04020705040A02060702" pitchFamily="82" charset="0"/>
            </a:rPr>
            <a:t>(1+y)</a:t>
          </a:r>
          <a:r>
            <a:rPr lang="en-IN" sz="2400" b="0" i="1" baseline="60000">
              <a:latin typeface="Algerian" panose="04020705040A02060702" pitchFamily="82" charset="0"/>
            </a:rPr>
            <a:t>(t+2)</a:t>
          </a:r>
          <a:endParaRPr lang="en-IN" sz="4000" b="0" i="1" baseline="60000">
            <a:latin typeface="Algerian" panose="04020705040A02060702" pitchFamily="82" charset="0"/>
          </a:endParaRPr>
        </a:p>
      </xdr:txBody>
    </xdr:sp>
    <xdr:clientData/>
  </xdr:oneCellAnchor>
  <xdr:twoCellAnchor>
    <xdr:from>
      <xdr:col>18</xdr:col>
      <xdr:colOff>478971</xdr:colOff>
      <xdr:row>18</xdr:row>
      <xdr:rowOff>32657</xdr:rowOff>
    </xdr:from>
    <xdr:to>
      <xdr:col>20</xdr:col>
      <xdr:colOff>10886</xdr:colOff>
      <xdr:row>18</xdr:row>
      <xdr:rowOff>43543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B62D21A-EC83-BA9D-5D27-23250DB83A3C}"/>
            </a:ext>
          </a:extLst>
        </xdr:cNvPr>
        <xdr:cNvCxnSpPr/>
      </xdr:nvCxnSpPr>
      <xdr:spPr>
        <a:xfrm flipV="1">
          <a:off x="15838714" y="3363686"/>
          <a:ext cx="751115" cy="10886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304799</xdr:colOff>
      <xdr:row>18</xdr:row>
      <xdr:rowOff>43542</xdr:rowOff>
    </xdr:from>
    <xdr:to>
      <xdr:col>25</xdr:col>
      <xdr:colOff>446314</xdr:colOff>
      <xdr:row>18</xdr:row>
      <xdr:rowOff>43542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740FD4D-F35A-602D-7280-43D16E9BEA21}"/>
            </a:ext>
          </a:extLst>
        </xdr:cNvPr>
        <xdr:cNvCxnSpPr/>
      </xdr:nvCxnSpPr>
      <xdr:spPr>
        <a:xfrm>
          <a:off x="18102942" y="3374571"/>
          <a:ext cx="197031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370114</xdr:colOff>
      <xdr:row>17</xdr:row>
      <xdr:rowOff>174172</xdr:rowOff>
    </xdr:from>
    <xdr:to>
      <xdr:col>21</xdr:col>
      <xdr:colOff>272143</xdr:colOff>
      <xdr:row>17</xdr:row>
      <xdr:rowOff>174172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08F2403-8E7C-0B31-F93F-7851B9264651}"/>
            </a:ext>
          </a:extLst>
        </xdr:cNvPr>
        <xdr:cNvCxnSpPr/>
      </xdr:nvCxnSpPr>
      <xdr:spPr>
        <a:xfrm>
          <a:off x="16949057" y="3320143"/>
          <a:ext cx="5116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21DC-0FC3-4B28-A013-EBF96A00E1A8}">
  <dimension ref="B4:W38"/>
  <sheetViews>
    <sheetView zoomScale="70" zoomScaleNormal="70" workbookViewId="0">
      <selection activeCell="D30" sqref="D30"/>
    </sheetView>
  </sheetViews>
  <sheetFormatPr defaultRowHeight="14.4" x14ac:dyDescent="0.3"/>
  <cols>
    <col min="2" max="2" width="15.5546875" customWidth="1"/>
    <col min="4" max="4" width="15.109375" bestFit="1" customWidth="1"/>
    <col min="5" max="5" width="28.6640625" customWidth="1"/>
    <col min="6" max="6" width="11.21875" bestFit="1" customWidth="1"/>
    <col min="7" max="7" width="24.5546875" customWidth="1"/>
  </cols>
  <sheetData>
    <row r="4" spans="2:23" x14ac:dyDescent="0.3">
      <c r="E4" s="2" t="s">
        <v>0</v>
      </c>
      <c r="F4" s="3">
        <v>44948</v>
      </c>
    </row>
    <row r="5" spans="2:23" x14ac:dyDescent="0.3">
      <c r="E5" s="2"/>
      <c r="F5" s="3"/>
    </row>
    <row r="6" spans="2:23" x14ac:dyDescent="0.3">
      <c r="E6" s="2" t="s">
        <v>10</v>
      </c>
      <c r="F6" s="3">
        <v>46774</v>
      </c>
    </row>
    <row r="7" spans="2:23" x14ac:dyDescent="0.3">
      <c r="E7" s="2" t="s">
        <v>1</v>
      </c>
      <c r="F7" s="4">
        <v>0.1</v>
      </c>
      <c r="I7" t="s">
        <v>8</v>
      </c>
      <c r="J7">
        <f>PRICE(F4,F6,F7,F8,F9,1,0)</f>
        <v>107.98542007415615</v>
      </c>
    </row>
    <row r="8" spans="2:23" x14ac:dyDescent="0.3">
      <c r="E8" s="2" t="s">
        <v>2</v>
      </c>
      <c r="F8" s="4">
        <v>0.08</v>
      </c>
      <c r="I8" t="s">
        <v>9</v>
      </c>
      <c r="J8">
        <f>YIELD(F4,F6,F7,J7,F9,1,0)</f>
        <v>7.999999999894232E-2</v>
      </c>
      <c r="L8" t="s">
        <v>11</v>
      </c>
    </row>
    <row r="9" spans="2:23" x14ac:dyDescent="0.3">
      <c r="E9" s="2" t="s">
        <v>6</v>
      </c>
      <c r="F9" s="5">
        <v>100</v>
      </c>
    </row>
    <row r="10" spans="2:23" x14ac:dyDescent="0.3">
      <c r="E10" s="2" t="s">
        <v>3</v>
      </c>
      <c r="F10" s="5">
        <v>1</v>
      </c>
      <c r="L10" t="s">
        <v>12</v>
      </c>
    </row>
    <row r="11" spans="2:23" x14ac:dyDescent="0.3">
      <c r="E11" s="2" t="s">
        <v>7</v>
      </c>
      <c r="F11" s="5">
        <f>J7</f>
        <v>107.98542007415615</v>
      </c>
    </row>
    <row r="12" spans="2:23" x14ac:dyDescent="0.3">
      <c r="E12" t="s">
        <v>4</v>
      </c>
      <c r="F12">
        <v>100</v>
      </c>
      <c r="M12" s="16" t="s">
        <v>13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2:23" x14ac:dyDescent="0.3">
      <c r="E13" t="s">
        <v>5</v>
      </c>
      <c r="F13">
        <v>964.33</v>
      </c>
      <c r="H13" s="6"/>
      <c r="I13" s="7" t="s">
        <v>14</v>
      </c>
      <c r="J13" s="8"/>
      <c r="K13" s="9"/>
      <c r="L13" s="1">
        <f>J7</f>
        <v>107.98542007415615</v>
      </c>
      <c r="M13">
        <v>0.05</v>
      </c>
      <c r="N13">
        <f>M13+0.005</f>
        <v>5.5E-2</v>
      </c>
      <c r="O13">
        <v>0.06</v>
      </c>
      <c r="P13">
        <v>6.5000000000000002E-2</v>
      </c>
      <c r="Q13">
        <v>7.0000000000000007E-2</v>
      </c>
      <c r="R13">
        <v>7.4999999999999997E-2</v>
      </c>
      <c r="S13">
        <v>0.08</v>
      </c>
      <c r="T13">
        <f t="shared" ref="T13" si="0">S13+0.005</f>
        <v>8.5000000000000006E-2</v>
      </c>
      <c r="U13">
        <v>0.09</v>
      </c>
      <c r="V13">
        <v>9.5000000000000001E-2</v>
      </c>
      <c r="W13">
        <v>0.1</v>
      </c>
    </row>
    <row r="14" spans="2:23" x14ac:dyDescent="0.3">
      <c r="H14" s="6"/>
      <c r="I14" s="8">
        <v>0.04</v>
      </c>
      <c r="J14" s="8">
        <v>103.77218934911241</v>
      </c>
      <c r="K14" s="9"/>
      <c r="L14" s="1">
        <v>0.04</v>
      </c>
      <c r="M14">
        <f t="dataTable" ref="M14:W38" dt2D="1" dtr="1" r1="F7" r2="F8"/>
        <v>104.45182233101619</v>
      </c>
      <c r="N14">
        <v>106.6777334965243</v>
      </c>
      <c r="O14">
        <v>108.90364466203239</v>
      </c>
      <c r="P14">
        <v>111.12955582754049</v>
      </c>
      <c r="Q14">
        <v>113.35546699304859</v>
      </c>
      <c r="R14">
        <v>115.5813781585567</v>
      </c>
      <c r="S14">
        <v>117.8072893240648</v>
      </c>
      <c r="T14">
        <v>120.03320048957291</v>
      </c>
      <c r="U14">
        <v>122.259111655081</v>
      </c>
      <c r="V14">
        <v>124.48502282058911</v>
      </c>
      <c r="W14">
        <v>126.71093398609722</v>
      </c>
    </row>
    <row r="15" spans="2:23" x14ac:dyDescent="0.3"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I15" s="8">
        <v>4.2500000000000003E-2</v>
      </c>
      <c r="J15" s="8">
        <v>103.28887968761683</v>
      </c>
      <c r="K15" s="9"/>
      <c r="L15" s="1">
        <v>4.2500000000000003E-2</v>
      </c>
      <c r="M15">
        <v>103.31554670942302</v>
      </c>
      <c r="N15">
        <v>105.5259111823717</v>
      </c>
      <c r="O15">
        <v>107.73627565532037</v>
      </c>
      <c r="P15">
        <v>109.94664012826904</v>
      </c>
      <c r="Q15">
        <v>112.15700460121772</v>
      </c>
      <c r="R15">
        <v>114.36736907416638</v>
      </c>
      <c r="S15">
        <v>116.57773354711506</v>
      </c>
      <c r="T15">
        <v>118.78809802006373</v>
      </c>
      <c r="U15">
        <v>120.9984624930124</v>
      </c>
      <c r="V15">
        <v>123.20882696596107</v>
      </c>
      <c r="W15">
        <v>125.41919143890973</v>
      </c>
    </row>
    <row r="16" spans="2:23" x14ac:dyDescent="0.3">
      <c r="B16">
        <v>1</v>
      </c>
      <c r="C16">
        <v>10</v>
      </c>
      <c r="D16" s="10">
        <f>1/(1+0.08)^B16</f>
        <v>0.92592592592592582</v>
      </c>
      <c r="E16">
        <f>D16*C16</f>
        <v>9.2592592592592577</v>
      </c>
      <c r="F16">
        <f>E16/$E$22</f>
        <v>8.5745457608079917E-2</v>
      </c>
      <c r="G16">
        <f>B16*F16</f>
        <v>8.5745457608079917E-2</v>
      </c>
      <c r="H16" s="6"/>
      <c r="I16" s="8">
        <v>4.4999999999999998E-2</v>
      </c>
      <c r="J16" s="8">
        <v>102.80900162542068</v>
      </c>
      <c r="K16" s="9"/>
      <c r="L16" s="1">
        <v>4.4999999999999998E-2</v>
      </c>
      <c r="M16">
        <v>102.19498837221467</v>
      </c>
      <c r="N16">
        <v>104.38997674442929</v>
      </c>
      <c r="O16">
        <v>106.58496511664393</v>
      </c>
      <c r="P16">
        <v>108.77995348885855</v>
      </c>
      <c r="Q16">
        <v>110.97494186107318</v>
      </c>
      <c r="R16">
        <v>113.1699302332878</v>
      </c>
      <c r="S16">
        <v>115.36491860550242</v>
      </c>
      <c r="T16">
        <v>117.55990697771705</v>
      </c>
      <c r="U16">
        <v>119.75489534993167</v>
      </c>
      <c r="V16">
        <v>121.9498837221463</v>
      </c>
      <c r="W16">
        <v>124.14487209436092</v>
      </c>
    </row>
    <row r="17" spans="2:23" x14ac:dyDescent="0.3">
      <c r="B17">
        <v>2</v>
      </c>
      <c r="C17">
        <v>10</v>
      </c>
      <c r="D17" s="10">
        <f t="shared" ref="D17:D20" si="1">1/(1+0.08)^B17</f>
        <v>0.85733882030178321</v>
      </c>
      <c r="E17">
        <f t="shared" ref="E17:E20" si="2">D17*C17</f>
        <v>8.5733882030178314</v>
      </c>
      <c r="F17">
        <f t="shared" ref="F17:F20" si="3">E17/$E$22</f>
        <v>7.9393942229703626E-2</v>
      </c>
      <c r="G17">
        <f t="shared" ref="G17:G20" si="4">B17*F17</f>
        <v>0.15878788445940725</v>
      </c>
      <c r="H17" s="6"/>
      <c r="I17" s="8">
        <v>4.7500000000000001E-2</v>
      </c>
      <c r="J17" s="8">
        <v>102.33252259898268</v>
      </c>
      <c r="K17" s="9"/>
      <c r="L17" s="1">
        <v>4.7500000000000001E-2</v>
      </c>
      <c r="M17">
        <v>101.08989022516927</v>
      </c>
      <c r="N17">
        <v>103.26967067550791</v>
      </c>
      <c r="O17">
        <v>105.44945112584654</v>
      </c>
      <c r="P17">
        <v>107.62923157618519</v>
      </c>
      <c r="Q17">
        <v>109.80901202652383</v>
      </c>
      <c r="R17">
        <v>111.98879247686247</v>
      </c>
      <c r="S17">
        <v>114.1685729272011</v>
      </c>
      <c r="T17">
        <v>116.34835337753974</v>
      </c>
      <c r="U17">
        <v>118.52813382787838</v>
      </c>
      <c r="V17">
        <v>120.70791427821702</v>
      </c>
      <c r="W17">
        <v>122.88769472855566</v>
      </c>
    </row>
    <row r="18" spans="2:23" x14ac:dyDescent="0.3">
      <c r="B18">
        <v>3</v>
      </c>
      <c r="C18">
        <v>10</v>
      </c>
      <c r="D18" s="10">
        <f t="shared" si="1"/>
        <v>0.79383224102016958</v>
      </c>
      <c r="E18">
        <f t="shared" si="2"/>
        <v>7.938322410201696</v>
      </c>
      <c r="F18">
        <f t="shared" si="3"/>
        <v>7.3512909471947802E-2</v>
      </c>
      <c r="G18">
        <f t="shared" si="4"/>
        <v>0.2205387284158434</v>
      </c>
      <c r="H18" s="6"/>
      <c r="I18" s="8">
        <v>0.05</v>
      </c>
      <c r="J18" s="8">
        <v>101.85941043083901</v>
      </c>
      <c r="K18" s="9"/>
      <c r="L18" s="1">
        <v>0.05</v>
      </c>
      <c r="M18">
        <v>99.999999999999986</v>
      </c>
      <c r="N18">
        <v>102.16473833531539</v>
      </c>
      <c r="O18">
        <v>104.3294766706308</v>
      </c>
      <c r="P18">
        <v>106.49421500594622</v>
      </c>
      <c r="Q18">
        <v>108.65895334126162</v>
      </c>
      <c r="R18">
        <v>110.82369167657703</v>
      </c>
      <c r="S18">
        <v>112.98843001189243</v>
      </c>
      <c r="T18">
        <v>115.15316834720785</v>
      </c>
      <c r="U18">
        <v>117.31790668252326</v>
      </c>
      <c r="V18">
        <v>119.48264501783866</v>
      </c>
      <c r="W18">
        <v>121.64738335315408</v>
      </c>
    </row>
    <row r="19" spans="2:23" x14ac:dyDescent="0.3">
      <c r="B19">
        <v>4</v>
      </c>
      <c r="C19">
        <v>10</v>
      </c>
      <c r="D19" s="10">
        <f t="shared" si="1"/>
        <v>0.73502985279645328</v>
      </c>
      <c r="E19">
        <f t="shared" si="2"/>
        <v>7.350298527964533</v>
      </c>
      <c r="F19">
        <f t="shared" si="3"/>
        <v>6.8067508770322041E-2</v>
      </c>
      <c r="G19">
        <f t="shared" si="4"/>
        <v>0.27227003508128816</v>
      </c>
      <c r="H19" s="6"/>
      <c r="I19" s="8">
        <v>5.2499999999999998E-2</v>
      </c>
      <c r="J19" s="8">
        <v>101.38963332411801</v>
      </c>
      <c r="K19" s="9"/>
      <c r="L19" s="1">
        <v>5.2499999999999998E-2</v>
      </c>
      <c r="M19">
        <v>98.925070152351225</v>
      </c>
      <c r="N19">
        <v>101.0749298476488</v>
      </c>
      <c r="O19">
        <v>103.2247895429464</v>
      </c>
      <c r="P19">
        <v>105.37464923824399</v>
      </c>
      <c r="Q19">
        <v>107.52450893354157</v>
      </c>
      <c r="R19">
        <v>109.67436862883916</v>
      </c>
      <c r="S19">
        <v>111.82422832413675</v>
      </c>
      <c r="T19">
        <v>113.97408801943433</v>
      </c>
      <c r="U19">
        <v>116.12394771473193</v>
      </c>
      <c r="V19">
        <v>118.27380741002952</v>
      </c>
      <c r="W19">
        <v>120.42366710532711</v>
      </c>
    </row>
    <row r="20" spans="2:23" x14ac:dyDescent="0.3">
      <c r="B20">
        <v>5</v>
      </c>
      <c r="C20">
        <v>110</v>
      </c>
      <c r="D20" s="10">
        <f t="shared" si="1"/>
        <v>0.68058319703375303</v>
      </c>
      <c r="E20">
        <f t="shared" si="2"/>
        <v>74.86415167371284</v>
      </c>
      <c r="F20">
        <f t="shared" si="3"/>
        <v>0.69328018191994667</v>
      </c>
      <c r="G20">
        <f t="shared" si="4"/>
        <v>3.4664009095997335</v>
      </c>
      <c r="H20" s="6"/>
      <c r="I20" s="8">
        <v>5.5E-2</v>
      </c>
      <c r="J20" s="8">
        <v>100.92315985714606</v>
      </c>
      <c r="K20" s="9"/>
      <c r="L20" s="1">
        <v>5.5E-2</v>
      </c>
      <c r="M20">
        <v>97.864857762190454</v>
      </c>
      <c r="N20">
        <v>100.00000000000001</v>
      </c>
      <c r="O20">
        <v>102.13514223780956</v>
      </c>
      <c r="P20">
        <v>104.27028447561912</v>
      </c>
      <c r="Q20">
        <v>106.40542671342868</v>
      </c>
      <c r="R20">
        <v>108.54056895123823</v>
      </c>
      <c r="S20">
        <v>110.67571118904777</v>
      </c>
      <c r="T20">
        <v>112.81085342685734</v>
      </c>
      <c r="U20">
        <v>114.94599566466688</v>
      </c>
      <c r="V20">
        <v>117.08113790247643</v>
      </c>
      <c r="W20">
        <v>119.21628014028599</v>
      </c>
    </row>
    <row r="21" spans="2:23" x14ac:dyDescent="0.3">
      <c r="H21" s="6"/>
      <c r="I21" s="8">
        <v>5.7500000000000002E-2</v>
      </c>
      <c r="J21" s="8">
        <v>100.45995897814214</v>
      </c>
      <c r="K21" s="9"/>
      <c r="L21" s="1">
        <v>5.7500000000000002E-2</v>
      </c>
      <c r="M21">
        <v>96.819124436532107</v>
      </c>
      <c r="N21">
        <v>98.939708145510664</v>
      </c>
      <c r="O21">
        <v>101.06029185448922</v>
      </c>
      <c r="P21">
        <v>103.18087556346777</v>
      </c>
      <c r="Q21">
        <v>105.30145927244632</v>
      </c>
      <c r="R21">
        <v>107.42204298142488</v>
      </c>
      <c r="S21">
        <v>109.54262669040344</v>
      </c>
      <c r="T21">
        <v>111.663210399382</v>
      </c>
      <c r="U21">
        <v>113.78379410836055</v>
      </c>
      <c r="V21">
        <v>115.9043778173391</v>
      </c>
      <c r="W21">
        <v>118.02496152631765</v>
      </c>
    </row>
    <row r="22" spans="2:23" x14ac:dyDescent="0.3">
      <c r="D22" s="10">
        <f>SUM(D16:D20)</f>
        <v>3.9927100370780853</v>
      </c>
      <c r="E22">
        <f>SUM(E16:E20)</f>
        <v>107.98542007415615</v>
      </c>
      <c r="G22">
        <f>SUM(G16:G20)</f>
        <v>4.2037430151643527</v>
      </c>
      <c r="H22" s="6"/>
      <c r="I22" s="8">
        <v>0.06</v>
      </c>
      <c r="J22" s="8">
        <v>100</v>
      </c>
      <c r="K22" s="9"/>
      <c r="L22" s="1">
        <v>0.06</v>
      </c>
      <c r="M22">
        <v>95.787636214434258</v>
      </c>
      <c r="N22">
        <v>97.893818107217115</v>
      </c>
      <c r="O22">
        <v>99.999999999999972</v>
      </c>
      <c r="P22">
        <v>102.10618189278283</v>
      </c>
      <c r="Q22">
        <v>104.21236378556569</v>
      </c>
      <c r="R22">
        <v>106.31854567834854</v>
      </c>
      <c r="S22">
        <v>108.4247275711314</v>
      </c>
      <c r="T22">
        <v>110.53090946391426</v>
      </c>
      <c r="U22">
        <v>112.63709135669711</v>
      </c>
      <c r="V22">
        <v>114.74327324947996</v>
      </c>
      <c r="W22">
        <v>116.84945514226283</v>
      </c>
    </row>
    <row r="23" spans="2:23" x14ac:dyDescent="0.3">
      <c r="H23" s="6"/>
      <c r="I23" s="8">
        <v>6.25E-2</v>
      </c>
      <c r="J23" s="8">
        <v>99.543252595155707</v>
      </c>
      <c r="K23" s="9"/>
      <c r="L23" s="1">
        <v>6.25E-2</v>
      </c>
      <c r="M23">
        <v>94.770163474209028</v>
      </c>
      <c r="N23">
        <v>96.862098084525414</v>
      </c>
      <c r="O23">
        <v>98.9540326948418</v>
      </c>
      <c r="P23">
        <v>101.0459673051582</v>
      </c>
      <c r="Q23">
        <v>103.13790191547459</v>
      </c>
      <c r="R23">
        <v>105.22983652579097</v>
      </c>
      <c r="S23">
        <v>107.32177113610737</v>
      </c>
      <c r="T23">
        <v>109.41370574642376</v>
      </c>
      <c r="U23">
        <v>111.50564035674014</v>
      </c>
      <c r="V23">
        <v>113.59757496705654</v>
      </c>
      <c r="W23">
        <v>115.68950957737295</v>
      </c>
    </row>
    <row r="24" spans="2:23" x14ac:dyDescent="0.3">
      <c r="H24" s="6"/>
      <c r="I24" s="8">
        <v>6.5000000000000002E-2</v>
      </c>
      <c r="J24" s="8">
        <v>99.089686790539815</v>
      </c>
      <c r="K24" s="9"/>
      <c r="L24" s="1">
        <v>6.5000000000000002E-2</v>
      </c>
      <c r="M24">
        <v>93.766480842791282</v>
      </c>
      <c r="N24">
        <v>95.844320561860854</v>
      </c>
      <c r="O24">
        <v>97.922160280930441</v>
      </c>
      <c r="P24">
        <v>100.00000000000003</v>
      </c>
      <c r="Q24">
        <v>102.0778397190696</v>
      </c>
      <c r="R24">
        <v>104.15567943813919</v>
      </c>
      <c r="S24">
        <v>106.23351915720878</v>
      </c>
      <c r="T24">
        <v>108.31135887627835</v>
      </c>
      <c r="U24">
        <v>110.38919859534792</v>
      </c>
      <c r="V24">
        <v>112.46703831441749</v>
      </c>
      <c r="W24">
        <v>114.54487803348708</v>
      </c>
    </row>
    <row r="25" spans="2:23" x14ac:dyDescent="0.3">
      <c r="B25" t="s">
        <v>21</v>
      </c>
      <c r="C25" s="11">
        <f>DURATION(F4,F6,F7,F8,1,)</f>
        <v>4.2037430151643518</v>
      </c>
      <c r="H25" s="6"/>
      <c r="I25" s="8">
        <v>6.7500000000000004E-2</v>
      </c>
      <c r="J25" s="8">
        <v>98.639272962611557</v>
      </c>
      <c r="K25" s="9"/>
      <c r="L25" s="1">
        <v>6.7500000000000004E-2</v>
      </c>
      <c r="M25">
        <v>92.776367107209396</v>
      </c>
      <c r="N25">
        <v>94.840262219435289</v>
      </c>
      <c r="O25">
        <v>96.904157331661196</v>
      </c>
      <c r="P25">
        <v>98.968052443887089</v>
      </c>
      <c r="Q25">
        <v>101.03194755611298</v>
      </c>
      <c r="R25">
        <v>103.09584266833889</v>
      </c>
      <c r="S25">
        <v>105.15973778056478</v>
      </c>
      <c r="T25">
        <v>107.22363289279068</v>
      </c>
      <c r="U25">
        <v>109.28752800501658</v>
      </c>
      <c r="V25">
        <v>111.35142311724246</v>
      </c>
      <c r="W25">
        <v>113.41531822946837</v>
      </c>
    </row>
    <row r="26" spans="2:23" x14ac:dyDescent="0.3">
      <c r="H26" s="6"/>
      <c r="I26" s="8">
        <v>7.0000000000000007E-2</v>
      </c>
      <c r="J26" s="8">
        <v>98.191981832474454</v>
      </c>
      <c r="K26" s="9"/>
      <c r="L26" s="1">
        <v>7.0000000000000007E-2</v>
      </c>
      <c r="M26">
        <v>91.799605128104815</v>
      </c>
      <c r="N26">
        <v>93.849703846078597</v>
      </c>
      <c r="O26">
        <v>95.899802564052408</v>
      </c>
      <c r="P26">
        <v>97.94990128202619</v>
      </c>
      <c r="Q26">
        <v>100</v>
      </c>
      <c r="R26">
        <v>102.05009871797378</v>
      </c>
      <c r="S26">
        <v>104.10019743594759</v>
      </c>
      <c r="T26">
        <v>106.15029615392137</v>
      </c>
      <c r="U26">
        <v>108.20039487189518</v>
      </c>
      <c r="V26">
        <v>110.25049358986898</v>
      </c>
      <c r="W26">
        <v>112.30059230784278</v>
      </c>
    </row>
    <row r="27" spans="2:23" x14ac:dyDescent="0.3">
      <c r="B27" t="s">
        <v>22</v>
      </c>
      <c r="C27" s="12">
        <f>MDURATION(F4,F6,F7,F8,1,)</f>
        <v>3.8923546436706959</v>
      </c>
      <c r="H27" s="6"/>
      <c r="I27" s="8">
        <v>7.2499999999999995E-2</v>
      </c>
      <c r="J27" s="8">
        <v>97.747784461071177</v>
      </c>
      <c r="K27" s="9"/>
      <c r="L27" s="1">
        <v>7.2499999999999995E-2</v>
      </c>
      <c r="M27">
        <v>90.835981755248639</v>
      </c>
      <c r="N27">
        <v>92.872430254082275</v>
      </c>
      <c r="O27">
        <v>94.908878752915911</v>
      </c>
      <c r="P27">
        <v>96.945327251749546</v>
      </c>
      <c r="Q27">
        <v>98.981775750583182</v>
      </c>
      <c r="R27">
        <v>101.01822424941682</v>
      </c>
      <c r="S27">
        <v>103.05467274825045</v>
      </c>
      <c r="T27">
        <v>105.09112124708409</v>
      </c>
      <c r="U27">
        <v>107.12756974591773</v>
      </c>
      <c r="V27">
        <v>109.16401824475136</v>
      </c>
      <c r="W27">
        <v>111.200466743585</v>
      </c>
    </row>
    <row r="28" spans="2:23" x14ac:dyDescent="0.3">
      <c r="H28" s="6"/>
      <c r="I28" s="8">
        <v>7.4999999999999997E-2</v>
      </c>
      <c r="J28" s="8">
        <v>97.306652244456473</v>
      </c>
      <c r="K28" s="9"/>
      <c r="L28" s="1">
        <v>7.4999999999999997E-2</v>
      </c>
      <c r="M28">
        <v>89.885287745003879</v>
      </c>
      <c r="N28">
        <v>91.908230196003103</v>
      </c>
      <c r="O28">
        <v>93.931172647002342</v>
      </c>
      <c r="P28">
        <v>95.954115098001566</v>
      </c>
      <c r="Q28">
        <v>97.97705754900079</v>
      </c>
      <c r="R28">
        <v>100.00000000000001</v>
      </c>
      <c r="S28">
        <v>102.02294245099924</v>
      </c>
      <c r="T28">
        <v>104.04588490199848</v>
      </c>
      <c r="U28">
        <v>106.06882735299769</v>
      </c>
      <c r="V28">
        <v>108.09176980399693</v>
      </c>
      <c r="W28">
        <v>110.11471225499614</v>
      </c>
    </row>
    <row r="29" spans="2:23" x14ac:dyDescent="0.3">
      <c r="H29" s="6"/>
      <c r="I29" s="8">
        <v>7.7499999999999999E-2</v>
      </c>
      <c r="J29" s="8">
        <v>96.868556909146719</v>
      </c>
      <c r="K29" s="9"/>
      <c r="L29" s="1">
        <v>7.7499999999999999E-2</v>
      </c>
      <c r="M29">
        <v>88.947317679684943</v>
      </c>
      <c r="N29">
        <v>90.956896283378597</v>
      </c>
      <c r="O29">
        <v>92.966474887072252</v>
      </c>
      <c r="P29">
        <v>94.976053490765906</v>
      </c>
      <c r="Q29">
        <v>96.985632094459561</v>
      </c>
      <c r="R29">
        <v>98.995210698153215</v>
      </c>
      <c r="S29">
        <v>101.00478930184687</v>
      </c>
      <c r="T29">
        <v>103.01436790554052</v>
      </c>
      <c r="U29">
        <v>105.02394650923418</v>
      </c>
      <c r="V29">
        <v>107.03352511292783</v>
      </c>
      <c r="W29">
        <v>109.04310371662149</v>
      </c>
    </row>
    <row r="30" spans="2:23" x14ac:dyDescent="0.3">
      <c r="H30" s="6"/>
      <c r="I30" s="8">
        <v>0.08</v>
      </c>
      <c r="J30" s="8">
        <v>96.43347050754457</v>
      </c>
      <c r="K30" s="9"/>
      <c r="L30" s="1">
        <v>0.08</v>
      </c>
      <c r="M30">
        <v>88.021869888765735</v>
      </c>
      <c r="N30">
        <v>90.01822490730477</v>
      </c>
      <c r="O30">
        <v>92.014579925843805</v>
      </c>
      <c r="P30">
        <v>94.010934944382853</v>
      </c>
      <c r="Q30">
        <v>96.007289962921902</v>
      </c>
      <c r="R30">
        <v>98.003644981460951</v>
      </c>
      <c r="S30">
        <v>99.999999999999986</v>
      </c>
      <c r="T30">
        <v>101.99635501853902</v>
      </c>
      <c r="U30">
        <v>103.99271003707807</v>
      </c>
      <c r="V30">
        <v>105.98906505561712</v>
      </c>
      <c r="W30">
        <v>107.98542007415615</v>
      </c>
    </row>
    <row r="31" spans="2:23" x14ac:dyDescent="0.3">
      <c r="H31" s="6"/>
      <c r="I31" s="8">
        <v>8.2500000000000004E-2</v>
      </c>
      <c r="J31" s="8">
        <v>96.001365413437597</v>
      </c>
      <c r="K31" s="9"/>
      <c r="L31" s="1">
        <v>8.2500000000000004E-2</v>
      </c>
      <c r="M31">
        <v>87.108746371890589</v>
      </c>
      <c r="N31">
        <v>89.092016160830497</v>
      </c>
      <c r="O31">
        <v>91.075285949770404</v>
      </c>
      <c r="P31">
        <v>93.058555738710311</v>
      </c>
      <c r="Q31">
        <v>95.041825527650232</v>
      </c>
      <c r="R31">
        <v>97.025095316590139</v>
      </c>
      <c r="S31">
        <v>99.008365105530046</v>
      </c>
      <c r="T31">
        <v>100.99163489446997</v>
      </c>
      <c r="U31">
        <v>102.97490468340987</v>
      </c>
      <c r="V31">
        <v>104.95817447234978</v>
      </c>
      <c r="W31">
        <v>106.94144426128969</v>
      </c>
    </row>
    <row r="32" spans="2:23" x14ac:dyDescent="0.3">
      <c r="H32" s="6"/>
      <c r="I32" s="8">
        <v>8.5000000000000006E-2</v>
      </c>
      <c r="J32" s="8">
        <v>95.572214317568864</v>
      </c>
      <c r="K32" s="9"/>
      <c r="L32" s="1">
        <v>8.5000000000000006E-2</v>
      </c>
      <c r="M32">
        <v>86.207752723641505</v>
      </c>
      <c r="N32">
        <v>88.17807376312129</v>
      </c>
      <c r="O32">
        <v>90.148394802601075</v>
      </c>
      <c r="P32">
        <v>92.11871584208086</v>
      </c>
      <c r="Q32">
        <v>94.089036881560659</v>
      </c>
      <c r="R32">
        <v>96.059357921040444</v>
      </c>
      <c r="S32">
        <v>98.029678960520229</v>
      </c>
      <c r="T32">
        <v>100.00000000000001</v>
      </c>
      <c r="U32">
        <v>101.97032103947981</v>
      </c>
      <c r="V32">
        <v>103.9406420789596</v>
      </c>
      <c r="W32">
        <v>105.91096311843938</v>
      </c>
    </row>
    <row r="33" spans="8:23" x14ac:dyDescent="0.3">
      <c r="H33" s="6"/>
      <c r="I33" s="8">
        <v>8.7499999999999994E-2</v>
      </c>
      <c r="J33" s="8">
        <v>95.145990223279185</v>
      </c>
      <c r="K33" s="9"/>
      <c r="L33" s="1">
        <v>8.7499999999999994E-2</v>
      </c>
      <c r="M33">
        <v>85.318698060019102</v>
      </c>
      <c r="N33">
        <v>87.276204985349892</v>
      </c>
      <c r="O33">
        <v>89.233711910680682</v>
      </c>
      <c r="P33">
        <v>91.191218836011473</v>
      </c>
      <c r="Q33">
        <v>93.148725761342277</v>
      </c>
      <c r="R33">
        <v>95.106232686673067</v>
      </c>
      <c r="S33">
        <v>97.063739612003857</v>
      </c>
      <c r="T33">
        <v>99.021246537334648</v>
      </c>
      <c r="U33">
        <v>100.97875346266545</v>
      </c>
      <c r="V33">
        <v>102.93626038799624</v>
      </c>
      <c r="W33">
        <v>104.89376731332703</v>
      </c>
    </row>
    <row r="34" spans="8:23" x14ac:dyDescent="0.3">
      <c r="H34" s="6"/>
      <c r="I34" s="8">
        <v>0.09</v>
      </c>
      <c r="J34" s="8">
        <v>94.722666442218653</v>
      </c>
      <c r="K34" s="9"/>
      <c r="L34" s="1">
        <v>0.09</v>
      </c>
      <c r="M34">
        <v>84.441394946593107</v>
      </c>
      <c r="N34">
        <v>86.386220578268976</v>
      </c>
      <c r="O34">
        <v>88.33104620994483</v>
      </c>
      <c r="P34">
        <v>90.275871841620685</v>
      </c>
      <c r="Q34">
        <v>92.220697473296553</v>
      </c>
      <c r="R34">
        <v>94.165523104972408</v>
      </c>
      <c r="S34">
        <v>96.110348736648263</v>
      </c>
      <c r="T34">
        <v>98.055174368324117</v>
      </c>
      <c r="U34">
        <v>99.999999999999972</v>
      </c>
      <c r="V34">
        <v>101.94482563167584</v>
      </c>
      <c r="W34">
        <v>103.88965126335169</v>
      </c>
    </row>
    <row r="35" spans="8:23" x14ac:dyDescent="0.3">
      <c r="H35" s="6"/>
      <c r="I35" s="8">
        <v>9.2499999999999999E-2</v>
      </c>
      <c r="J35" s="8">
        <v>94.302216590127188</v>
      </c>
      <c r="K35" s="9"/>
      <c r="L35" s="1">
        <v>9.2499999999999999E-2</v>
      </c>
      <c r="M35">
        <v>83.575659328282043</v>
      </c>
      <c r="N35">
        <v>85.507934701425341</v>
      </c>
      <c r="O35">
        <v>87.440210074568625</v>
      </c>
      <c r="P35">
        <v>89.37248544771191</v>
      </c>
      <c r="Q35">
        <v>91.304760820855194</v>
      </c>
      <c r="R35">
        <v>93.237036193998478</v>
      </c>
      <c r="S35">
        <v>95.169311567141762</v>
      </c>
      <c r="T35">
        <v>97.101586940285046</v>
      </c>
      <c r="U35">
        <v>99.033862313428344</v>
      </c>
      <c r="V35">
        <v>100.96613768657163</v>
      </c>
      <c r="W35">
        <v>102.8984130597149</v>
      </c>
    </row>
    <row r="36" spans="8:23" x14ac:dyDescent="0.3">
      <c r="H36" s="6"/>
      <c r="I36" s="8">
        <v>9.5000000000000001E-2</v>
      </c>
      <c r="J36" s="8">
        <v>93.884614582681749</v>
      </c>
      <c r="K36" s="9"/>
      <c r="L36" s="1">
        <v>9.5000000000000001E-2</v>
      </c>
      <c r="M36">
        <v>82.721310460719749</v>
      </c>
      <c r="N36">
        <v>84.641164853973109</v>
      </c>
      <c r="O36">
        <v>86.561019247226469</v>
      </c>
      <c r="P36">
        <v>88.480873640479828</v>
      </c>
      <c r="Q36">
        <v>90.400728033733202</v>
      </c>
      <c r="R36">
        <v>92.320582426986562</v>
      </c>
      <c r="S36">
        <v>94.240436820239921</v>
      </c>
      <c r="T36">
        <v>96.160291213493281</v>
      </c>
      <c r="U36">
        <v>98.08014560674664</v>
      </c>
      <c r="V36">
        <v>100</v>
      </c>
      <c r="W36">
        <v>101.91985439325336</v>
      </c>
    </row>
    <row r="37" spans="8:23" x14ac:dyDescent="0.3">
      <c r="H37" s="6"/>
      <c r="I37" s="8">
        <v>9.75000000000001E-2</v>
      </c>
      <c r="J37" s="8">
        <v>93.469834631410137</v>
      </c>
      <c r="K37" s="9"/>
      <c r="L37" s="1">
        <v>9.75000000000001E-2</v>
      </c>
      <c r="M37">
        <v>81.878170843171077</v>
      </c>
      <c r="N37">
        <v>83.785731807047796</v>
      </c>
      <c r="O37">
        <v>85.693292770924529</v>
      </c>
      <c r="P37">
        <v>87.600853734801248</v>
      </c>
      <c r="Q37">
        <v>89.508414698677967</v>
      </c>
      <c r="R37">
        <v>91.415975662554686</v>
      </c>
      <c r="S37">
        <v>93.323536626431405</v>
      </c>
      <c r="T37">
        <v>95.231097590308138</v>
      </c>
      <c r="U37">
        <v>97.138658554184858</v>
      </c>
      <c r="V37">
        <v>99.046219518061577</v>
      </c>
      <c r="W37">
        <v>100.95378048193831</v>
      </c>
    </row>
    <row r="38" spans="8:23" x14ac:dyDescent="0.3">
      <c r="H38" s="6"/>
      <c r="I38" s="8">
        <v>0.1</v>
      </c>
      <c r="J38" s="8">
        <v>93.057851239669418</v>
      </c>
      <c r="K38" s="9"/>
      <c r="L38" s="1">
        <v>0.1</v>
      </c>
      <c r="M38">
        <v>81.046066152957735</v>
      </c>
      <c r="N38">
        <v>82.941459537661956</v>
      </c>
      <c r="O38">
        <v>84.836852922366177</v>
      </c>
      <c r="P38">
        <v>86.732246307070398</v>
      </c>
      <c r="Q38">
        <v>88.627639691774647</v>
      </c>
      <c r="R38">
        <v>90.523033076478853</v>
      </c>
      <c r="S38">
        <v>92.418426461183088</v>
      </c>
      <c r="T38">
        <v>94.313819845887309</v>
      </c>
      <c r="U38">
        <v>96.20921323059153</v>
      </c>
      <c r="V38">
        <v>98.104606615295751</v>
      </c>
      <c r="W38">
        <v>99.999999999999972</v>
      </c>
    </row>
  </sheetData>
  <mergeCells count="1">
    <mergeCell ref="M12:W12"/>
  </mergeCells>
  <conditionalFormatting sqref="M13:W38">
    <cfRule type="cellIs" dxfId="0" priority="1" operator="equal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34F7-1DBA-4689-A999-C07A5B6E46BE}">
  <dimension ref="B4:O30"/>
  <sheetViews>
    <sheetView tabSelected="1" topLeftCell="O3" zoomScale="70" zoomScaleNormal="70" workbookViewId="0">
      <selection activeCell="X24" sqref="X24"/>
    </sheetView>
  </sheetViews>
  <sheetFormatPr defaultRowHeight="14.4" x14ac:dyDescent="0.3"/>
  <cols>
    <col min="2" max="2" width="15.5546875" customWidth="1"/>
    <col min="4" max="4" width="15.109375" bestFit="1" customWidth="1"/>
    <col min="5" max="5" width="28.6640625" customWidth="1"/>
    <col min="6" max="6" width="14.109375" customWidth="1"/>
    <col min="7" max="7" width="24.5546875" customWidth="1"/>
    <col min="10" max="10" width="4.77734375" customWidth="1"/>
    <col min="12" max="12" width="10.77734375" customWidth="1"/>
    <col min="13" max="13" width="11.88671875" customWidth="1"/>
    <col min="14" max="14" width="11.44140625" customWidth="1"/>
    <col min="15" max="15" width="15.88671875" customWidth="1"/>
  </cols>
  <sheetData>
    <row r="4" spans="2:12" x14ac:dyDescent="0.3">
      <c r="E4" s="2" t="s">
        <v>0</v>
      </c>
      <c r="F4" s="3">
        <v>44948</v>
      </c>
    </row>
    <row r="5" spans="2:12" x14ac:dyDescent="0.3">
      <c r="E5" s="2"/>
      <c r="F5" s="3"/>
    </row>
    <row r="6" spans="2:12" x14ac:dyDescent="0.3">
      <c r="E6" s="2" t="s">
        <v>10</v>
      </c>
      <c r="F6" s="3">
        <v>46774</v>
      </c>
    </row>
    <row r="7" spans="2:12" x14ac:dyDescent="0.3">
      <c r="E7" s="2" t="s">
        <v>1</v>
      </c>
      <c r="F7" s="4">
        <v>0.1</v>
      </c>
      <c r="I7" t="s">
        <v>8</v>
      </c>
      <c r="J7">
        <f>PRICE(F4,F6,F7,F8,F9,1,0)</f>
        <v>99.924222985407823</v>
      </c>
    </row>
    <row r="8" spans="2:12" x14ac:dyDescent="0.3">
      <c r="E8" s="2" t="s">
        <v>2</v>
      </c>
      <c r="F8" s="4">
        <v>0.1002</v>
      </c>
      <c r="I8" t="s">
        <v>9</v>
      </c>
      <c r="J8">
        <f>YIELD(F4,F6,F7,J7,F9,1,0)</f>
        <v>0.10020000000000014</v>
      </c>
      <c r="L8" t="s">
        <v>11</v>
      </c>
    </row>
    <row r="9" spans="2:12" x14ac:dyDescent="0.3">
      <c r="E9" s="2" t="s">
        <v>6</v>
      </c>
      <c r="F9" s="5">
        <v>100</v>
      </c>
    </row>
    <row r="10" spans="2:12" x14ac:dyDescent="0.3">
      <c r="E10" s="2" t="s">
        <v>3</v>
      </c>
      <c r="F10" s="5">
        <v>1</v>
      </c>
      <c r="L10" t="s">
        <v>12</v>
      </c>
    </row>
    <row r="11" spans="2:12" x14ac:dyDescent="0.3">
      <c r="E11" s="2" t="s">
        <v>7</v>
      </c>
      <c r="F11" s="5">
        <f>J7</f>
        <v>99.924222985407823</v>
      </c>
    </row>
    <row r="12" spans="2:12" x14ac:dyDescent="0.3">
      <c r="E12" t="s">
        <v>4</v>
      </c>
      <c r="F12">
        <v>100</v>
      </c>
    </row>
    <row r="13" spans="2:12" x14ac:dyDescent="0.3">
      <c r="E13" t="s">
        <v>5</v>
      </c>
      <c r="F13">
        <v>964.33</v>
      </c>
    </row>
    <row r="15" spans="2:12" x14ac:dyDescent="0.3"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</row>
    <row r="16" spans="2:12" x14ac:dyDescent="0.3">
      <c r="B16">
        <v>1</v>
      </c>
      <c r="C16">
        <v>10</v>
      </c>
      <c r="D16" s="10">
        <f>1/(1+0.08)^B16</f>
        <v>0.92592592592592582</v>
      </c>
      <c r="E16">
        <f>D16*C16</f>
        <v>9.2592592592592577</v>
      </c>
      <c r="F16">
        <f>E16/$E$22</f>
        <v>8.5745457608079917E-2</v>
      </c>
      <c r="G16">
        <f>B16*F16</f>
        <v>8.5745457608079917E-2</v>
      </c>
    </row>
    <row r="17" spans="2:15" x14ac:dyDescent="0.3">
      <c r="B17">
        <v>2</v>
      </c>
      <c r="C17">
        <v>10</v>
      </c>
      <c r="D17" s="10">
        <f t="shared" ref="D17:D20" si="0">1/(1+0.08)^B17</f>
        <v>0.85733882030178321</v>
      </c>
      <c r="E17">
        <f t="shared" ref="E17:E20" si="1">D17*C17</f>
        <v>8.5733882030178314</v>
      </c>
      <c r="F17">
        <f t="shared" ref="F17:F20" si="2">E17/$E$22</f>
        <v>7.9393942229703626E-2</v>
      </c>
      <c r="G17">
        <f t="shared" ref="G17:G20" si="3">B17*F17</f>
        <v>0.15878788445940725</v>
      </c>
    </row>
    <row r="18" spans="2:15" x14ac:dyDescent="0.3">
      <c r="B18">
        <v>3</v>
      </c>
      <c r="C18">
        <v>10</v>
      </c>
      <c r="D18" s="10">
        <f t="shared" si="0"/>
        <v>0.79383224102016958</v>
      </c>
      <c r="E18">
        <f t="shared" si="1"/>
        <v>7.938322410201696</v>
      </c>
      <c r="F18">
        <f t="shared" si="2"/>
        <v>7.3512909471947802E-2</v>
      </c>
      <c r="G18">
        <f t="shared" si="3"/>
        <v>0.2205387284158434</v>
      </c>
    </row>
    <row r="19" spans="2:15" x14ac:dyDescent="0.3">
      <c r="B19">
        <v>4</v>
      </c>
      <c r="C19">
        <v>10</v>
      </c>
      <c r="D19" s="10">
        <f t="shared" si="0"/>
        <v>0.73502985279645328</v>
      </c>
      <c r="E19">
        <f t="shared" si="1"/>
        <v>7.350298527964533</v>
      </c>
      <c r="F19">
        <f t="shared" si="2"/>
        <v>6.8067508770322041E-2</v>
      </c>
      <c r="G19">
        <f t="shared" si="3"/>
        <v>0.27227003508128816</v>
      </c>
      <c r="K19" t="s">
        <v>26</v>
      </c>
      <c r="L19" t="s">
        <v>24</v>
      </c>
      <c r="M19" s="5" t="s">
        <v>25</v>
      </c>
    </row>
    <row r="20" spans="2:15" x14ac:dyDescent="0.3">
      <c r="B20">
        <v>5</v>
      </c>
      <c r="C20">
        <v>110</v>
      </c>
      <c r="D20" s="10">
        <f t="shared" si="0"/>
        <v>0.68058319703375303</v>
      </c>
      <c r="E20">
        <f t="shared" si="1"/>
        <v>74.86415167371284</v>
      </c>
      <c r="F20">
        <f t="shared" si="2"/>
        <v>0.69328018191994667</v>
      </c>
      <c r="G20">
        <f t="shared" si="3"/>
        <v>3.4664009095997335</v>
      </c>
      <c r="K20" s="14">
        <f>($F$8-L20)</f>
        <v>0</v>
      </c>
      <c r="L20" s="14">
        <f>F8</f>
        <v>0.1002</v>
      </c>
      <c r="M20" s="15">
        <f>J7</f>
        <v>99.924222985407823</v>
      </c>
    </row>
    <row r="21" spans="2:15" x14ac:dyDescent="0.3">
      <c r="K21" s="14">
        <f>(L21-$F$8)</f>
        <v>-9.0200000000000002E-2</v>
      </c>
      <c r="L21" s="13">
        <v>0.01</v>
      </c>
      <c r="M21" s="15">
        <f t="dataTable" ref="M21:M30" dt2D="0" dtr="0" r1="F8"/>
        <v>143.68088115392609</v>
      </c>
      <c r="N21">
        <f>(M21-$M$20)/$M$20</f>
        <v>0.43789840802573127</v>
      </c>
      <c r="O21">
        <f>-$C$27*(L21-$L$20)</f>
        <v>0.34183881189945592</v>
      </c>
    </row>
    <row r="22" spans="2:15" x14ac:dyDescent="0.3">
      <c r="D22" s="10">
        <f>SUM(D16:D20)</f>
        <v>3.9927100370780853</v>
      </c>
      <c r="E22">
        <f>SUM(E16:E20)</f>
        <v>107.98542007415615</v>
      </c>
      <c r="G22">
        <f>SUM(G16:G20)</f>
        <v>4.2037430151643527</v>
      </c>
      <c r="K22" s="14">
        <f t="shared" ref="K22:K30" si="4">(L22-$F$8)</f>
        <v>-8.0199999999999994E-2</v>
      </c>
      <c r="L22" s="13">
        <v>0.02</v>
      </c>
      <c r="M22" s="15">
        <v>137.70767606803363</v>
      </c>
      <c r="N22">
        <f t="shared" ref="N22:N30" si="5">(M22-$M$20)/$M$20</f>
        <v>0.37812105967682552</v>
      </c>
      <c r="O22">
        <f t="shared" ref="O22:O30" si="6">-$C$27*(L22-$L$20)</f>
        <v>0.30394093918332998</v>
      </c>
    </row>
    <row r="23" spans="2:15" x14ac:dyDescent="0.3">
      <c r="K23" s="14">
        <f t="shared" si="4"/>
        <v>-3.0199999999999991E-2</v>
      </c>
      <c r="L23" s="13">
        <v>7.0000000000000007E-2</v>
      </c>
      <c r="M23" s="15">
        <v>112.30059230784278</v>
      </c>
      <c r="N23">
        <f t="shared" si="5"/>
        <v>0.12385754877715992</v>
      </c>
      <c r="O23">
        <f t="shared" si="6"/>
        <v>0.11445157560270028</v>
      </c>
    </row>
    <row r="24" spans="2:15" x14ac:dyDescent="0.3">
      <c r="K24" s="14">
        <f t="shared" si="4"/>
        <v>-2.0199999999999996E-2</v>
      </c>
      <c r="L24" s="13">
        <v>0.08</v>
      </c>
      <c r="M24" s="15">
        <v>107.98542007415615</v>
      </c>
      <c r="N24">
        <f t="shared" si="5"/>
        <v>8.0673102556179252E-2</v>
      </c>
      <c r="O24">
        <f t="shared" si="6"/>
        <v>7.6553702886574371E-2</v>
      </c>
    </row>
    <row r="25" spans="2:15" x14ac:dyDescent="0.3">
      <c r="B25" t="s">
        <v>21</v>
      </c>
      <c r="C25" s="11">
        <f>DURATION(F4,F6,F7,F8,1,)</f>
        <v>4.1695239562281756</v>
      </c>
      <c r="K25" s="14">
        <f t="shared" si="4"/>
        <v>-1.0200000000000001E-2</v>
      </c>
      <c r="L25" s="13">
        <v>0.09</v>
      </c>
      <c r="M25" s="15">
        <v>103.88965126335169</v>
      </c>
      <c r="N25">
        <f>(M25-$M$20)/$M$20</f>
        <v>3.9684354398462053E-2</v>
      </c>
      <c r="O25">
        <f t="shared" si="6"/>
        <v>3.8655830170448456E-2</v>
      </c>
    </row>
    <row r="26" spans="2:15" x14ac:dyDescent="0.3">
      <c r="K26" s="14">
        <f t="shared" si="4"/>
        <v>-1.9999999999999185E-4</v>
      </c>
      <c r="L26" s="13">
        <v>0.1</v>
      </c>
      <c r="M26" s="15">
        <v>99.999999999999972</v>
      </c>
      <c r="N26">
        <f t="shared" si="5"/>
        <v>7.5834479696894178E-4</v>
      </c>
      <c r="O26">
        <f t="shared" si="6"/>
        <v>7.579574543224878E-4</v>
      </c>
    </row>
    <row r="27" spans="2:15" x14ac:dyDescent="0.3">
      <c r="B27" t="s">
        <v>22</v>
      </c>
      <c r="C27" s="12">
        <f>MDURATION(F4,F6,F7,F8,1,)</f>
        <v>3.7897872716125933</v>
      </c>
      <c r="D27" t="s">
        <v>23</v>
      </c>
      <c r="K27" s="14">
        <f t="shared" si="4"/>
        <v>4.9799999999999997E-2</v>
      </c>
      <c r="L27" s="13">
        <v>0.15</v>
      </c>
      <c r="M27" s="15">
        <v>83.239224509943014</v>
      </c>
      <c r="N27">
        <f t="shared" si="5"/>
        <v>-0.16697651457246118</v>
      </c>
      <c r="O27">
        <f t="shared" si="6"/>
        <v>-0.18873140612630715</v>
      </c>
    </row>
    <row r="28" spans="2:15" x14ac:dyDescent="0.3">
      <c r="K28" s="14">
        <f t="shared" si="4"/>
        <v>9.9800000000000014E-2</v>
      </c>
      <c r="L28" s="13">
        <v>0.2</v>
      </c>
      <c r="M28" s="15">
        <v>70.093878600823047</v>
      </c>
      <c r="N28">
        <f t="shared" si="5"/>
        <v>-0.29852966071040626</v>
      </c>
      <c r="O28">
        <f t="shared" si="6"/>
        <v>-0.37822076970693685</v>
      </c>
    </row>
    <row r="29" spans="2:15" x14ac:dyDescent="0.3">
      <c r="K29" s="14">
        <f t="shared" si="4"/>
        <v>0.10979999999999999</v>
      </c>
      <c r="L29" s="13">
        <v>0.21</v>
      </c>
      <c r="M29" s="15">
        <v>67.81417230345167</v>
      </c>
      <c r="N29">
        <f t="shared" si="5"/>
        <v>-0.32134401171821231</v>
      </c>
      <c r="O29">
        <f t="shared" si="6"/>
        <v>-0.41611864242306273</v>
      </c>
    </row>
    <row r="30" spans="2:15" x14ac:dyDescent="0.3">
      <c r="K30" s="14">
        <f t="shared" si="4"/>
        <v>0.1198</v>
      </c>
      <c r="L30" s="13">
        <v>0.22</v>
      </c>
      <c r="M30" s="15">
        <v>65.63632286142348</v>
      </c>
      <c r="N30">
        <f t="shared" si="5"/>
        <v>-0.34313902174642369</v>
      </c>
      <c r="O30">
        <f t="shared" si="6"/>
        <v>-0.45401651513918867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Duration_MD_Convexity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Sumiran Gurung</dc:creator>
  <cp:lastModifiedBy>Sumiran Gurung</cp:lastModifiedBy>
  <dcterms:created xsi:type="dcterms:W3CDTF">2026-01-27T09:39:57Z</dcterms:created>
  <dcterms:modified xsi:type="dcterms:W3CDTF">2026-02-04T12:01:29Z</dcterms:modified>
</cp:coreProperties>
</file>