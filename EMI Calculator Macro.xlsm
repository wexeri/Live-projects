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BA 1\MBA -2nd - Sem\MBA-Financial Modelling\"/>
    </mc:Choice>
  </mc:AlternateContent>
  <xr:revisionPtr revIDLastSave="0" documentId="13_ncr:1_{BBC7EA13-0046-4EA5-B39F-7B769A7B6F4D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activeTab="1" autoFilterDateGrouping="0" xr2:uid="{137E6B1E-9EC3-4EF0-8CD5-AEF66C1189B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2" l="1"/>
  <c r="E16" i="2"/>
  <c r="G16" i="2"/>
  <c r="F16" i="2" s="1"/>
  <c r="H16" i="2"/>
  <c r="D17" i="2"/>
  <c r="E17" i="2"/>
  <c r="G17" i="2"/>
  <c r="F17" i="2" s="1"/>
  <c r="H17" i="2"/>
  <c r="D18" i="2"/>
  <c r="E18" i="2"/>
  <c r="G18" i="2"/>
  <c r="F18" i="2" s="1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H15" i="2"/>
  <c r="F15" i="2"/>
  <c r="E15" i="2"/>
  <c r="H14" i="2"/>
  <c r="D15" i="2" s="1"/>
  <c r="G15" i="2"/>
  <c r="F14" i="2"/>
  <c r="G14" i="2"/>
  <c r="E14" i="2"/>
  <c r="D14" i="2"/>
  <c r="M26" i="1"/>
  <c r="C4" i="2"/>
  <c r="H23" i="1"/>
  <c r="H25" i="1"/>
  <c r="H13" i="1"/>
  <c r="H15" i="1"/>
  <c r="H17" i="1"/>
  <c r="N26" i="1"/>
  <c r="H18" i="2" l="1"/>
  <c r="D19" i="2" s="1"/>
  <c r="E8" i="2"/>
  <c r="E19" i="2" l="1"/>
  <c r="F19" i="2" s="1"/>
  <c r="H19" i="2" s="1"/>
  <c r="D20" i="2" s="1"/>
  <c r="C5" i="2"/>
  <c r="E20" i="2" l="1"/>
  <c r="F20" i="2" s="1"/>
  <c r="H20" i="2" s="1"/>
  <c r="D21" i="2" s="1"/>
  <c r="C6" i="2"/>
  <c r="C8" i="2"/>
  <c r="E21" i="2" l="1"/>
  <c r="F21" i="2" s="1"/>
  <c r="H21" i="2" s="1"/>
  <c r="D22" i="2" s="1"/>
  <c r="E22" i="2" l="1"/>
  <c r="F22" i="2" s="1"/>
  <c r="H22" i="2" s="1"/>
  <c r="D23" i="2" s="1"/>
  <c r="E23" i="2" l="1"/>
  <c r="F23" i="2" s="1"/>
  <c r="H23" i="2" s="1"/>
  <c r="D24" i="2" s="1"/>
  <c r="E24" i="2" l="1"/>
  <c r="F24" i="2" s="1"/>
  <c r="H24" i="2"/>
  <c r="D25" i="2" s="1"/>
  <c r="E25" i="2" l="1"/>
  <c r="F25" i="2" s="1"/>
  <c r="H25" i="2" s="1"/>
  <c r="D26" i="2" s="1"/>
  <c r="E26" i="2" l="1"/>
  <c r="F26" i="2" s="1"/>
  <c r="H26" i="2"/>
  <c r="D27" i="2" s="1"/>
  <c r="E27" i="2" l="1"/>
  <c r="F27" i="2" s="1"/>
  <c r="H27" i="2" s="1"/>
  <c r="D28" i="2" s="1"/>
  <c r="E28" i="2" l="1"/>
  <c r="F28" i="2" s="1"/>
  <c r="H28" i="2"/>
  <c r="D29" i="2" s="1"/>
  <c r="E29" i="2" l="1"/>
  <c r="F29" i="2" s="1"/>
  <c r="H29" i="2"/>
  <c r="D30" i="2" s="1"/>
  <c r="E30" i="2" l="1"/>
  <c r="F30" i="2" s="1"/>
  <c r="H30" i="2" s="1"/>
  <c r="D31" i="2" s="1"/>
  <c r="E31" i="2" l="1"/>
  <c r="F31" i="2" s="1"/>
  <c r="H31" i="2"/>
  <c r="D32" i="2" s="1"/>
  <c r="E32" i="2" l="1"/>
  <c r="F32" i="2" s="1"/>
  <c r="H32" i="2" s="1"/>
  <c r="D33" i="2" s="1"/>
  <c r="E33" i="2" l="1"/>
  <c r="F33" i="2" s="1"/>
  <c r="H33" i="2"/>
  <c r="D34" i="2" s="1"/>
  <c r="E34" i="2" l="1"/>
  <c r="F34" i="2" s="1"/>
  <c r="H34" i="2"/>
  <c r="D35" i="2" s="1"/>
  <c r="E35" i="2" l="1"/>
  <c r="F35" i="2" s="1"/>
  <c r="H35" i="2"/>
  <c r="D36" i="2" s="1"/>
  <c r="E36" i="2" l="1"/>
  <c r="F36" i="2" s="1"/>
  <c r="H36" i="2"/>
  <c r="D37" i="2" s="1"/>
  <c r="E37" i="2" l="1"/>
  <c r="F37" i="2" s="1"/>
  <c r="H37" i="2" s="1"/>
  <c r="D38" i="2" s="1"/>
  <c r="E38" i="2" l="1"/>
  <c r="F38" i="2" s="1"/>
  <c r="H38" i="2" s="1"/>
  <c r="D39" i="2" s="1"/>
  <c r="E39" i="2" l="1"/>
  <c r="F39" i="2" s="1"/>
  <c r="H39" i="2"/>
  <c r="D40" i="2" s="1"/>
  <c r="E40" i="2" l="1"/>
  <c r="F40" i="2" s="1"/>
  <c r="H40" i="2"/>
  <c r="D41" i="2" s="1"/>
  <c r="E41" i="2" l="1"/>
  <c r="F41" i="2" s="1"/>
  <c r="H41" i="2" s="1"/>
  <c r="D42" i="2" s="1"/>
  <c r="E42" i="2" l="1"/>
  <c r="F42" i="2" s="1"/>
  <c r="H42" i="2" s="1"/>
  <c r="D43" i="2" s="1"/>
  <c r="E43" i="2" l="1"/>
  <c r="F43" i="2" s="1"/>
  <c r="H43" i="2" s="1"/>
  <c r="D44" i="2" s="1"/>
  <c r="E44" i="2" l="1"/>
  <c r="F44" i="2" s="1"/>
  <c r="H44" i="2" s="1"/>
  <c r="D45" i="2" s="1"/>
  <c r="E45" i="2" l="1"/>
  <c r="F45" i="2" s="1"/>
  <c r="H45" i="2"/>
  <c r="D46" i="2" s="1"/>
  <c r="E46" i="2" l="1"/>
  <c r="F46" i="2" s="1"/>
  <c r="H46" i="2"/>
  <c r="D47" i="2" s="1"/>
  <c r="E47" i="2" l="1"/>
  <c r="F47" i="2" s="1"/>
  <c r="H47" i="2"/>
  <c r="D48" i="2" s="1"/>
  <c r="E48" i="2" l="1"/>
  <c r="F48" i="2" s="1"/>
  <c r="H48" i="2"/>
  <c r="D49" i="2" s="1"/>
  <c r="E49" i="2" l="1"/>
  <c r="F49" i="2" s="1"/>
  <c r="H49" i="2" s="1"/>
  <c r="D50" i="2" s="1"/>
  <c r="E50" i="2" l="1"/>
  <c r="F50" i="2" s="1"/>
  <c r="H50" i="2" s="1"/>
  <c r="D51" i="2" s="1"/>
  <c r="E51" i="2" l="1"/>
  <c r="F51" i="2" s="1"/>
  <c r="H51" i="2"/>
  <c r="D52" i="2" s="1"/>
  <c r="E52" i="2" l="1"/>
  <c r="F52" i="2" s="1"/>
  <c r="H52" i="2"/>
  <c r="D53" i="2" s="1"/>
  <c r="E53" i="2" l="1"/>
  <c r="F53" i="2" s="1"/>
  <c r="H53" i="2" s="1"/>
  <c r="D54" i="2" s="1"/>
  <c r="E54" i="2" l="1"/>
  <c r="F54" i="2" s="1"/>
  <c r="H54" i="2" s="1"/>
  <c r="D55" i="2" s="1"/>
  <c r="E55" i="2" l="1"/>
  <c r="F55" i="2" s="1"/>
  <c r="H55" i="2"/>
  <c r="D56" i="2" s="1"/>
  <c r="E56" i="2" l="1"/>
  <c r="F56" i="2" s="1"/>
  <c r="H56" i="2" s="1"/>
  <c r="D57" i="2" s="1"/>
  <c r="E57" i="2" l="1"/>
  <c r="F57" i="2" s="1"/>
  <c r="H57" i="2"/>
  <c r="D58" i="2" s="1"/>
  <c r="E58" i="2" l="1"/>
  <c r="F58" i="2" s="1"/>
  <c r="H58" i="2"/>
  <c r="D59" i="2" s="1"/>
  <c r="E59" i="2" l="1"/>
  <c r="F59" i="2" s="1"/>
  <c r="H59" i="2"/>
  <c r="D60" i="2" s="1"/>
  <c r="E60" i="2" l="1"/>
  <c r="F60" i="2" s="1"/>
  <c r="H60" i="2"/>
  <c r="D61" i="2" s="1"/>
  <c r="E61" i="2" l="1"/>
  <c r="F61" i="2" s="1"/>
  <c r="H61" i="2" s="1"/>
  <c r="D62" i="2" s="1"/>
  <c r="E62" i="2" l="1"/>
  <c r="F62" i="2" s="1"/>
  <c r="H62" i="2" s="1"/>
  <c r="D63" i="2" s="1"/>
  <c r="E63" i="2" l="1"/>
  <c r="F63" i="2" s="1"/>
  <c r="H63" i="2"/>
  <c r="D64" i="2" s="1"/>
  <c r="E64" i="2" l="1"/>
  <c r="F64" i="2" s="1"/>
  <c r="H64" i="2"/>
  <c r="D65" i="2" s="1"/>
  <c r="E65" i="2" l="1"/>
  <c r="F65" i="2" s="1"/>
  <c r="H65" i="2" s="1"/>
  <c r="D66" i="2" s="1"/>
  <c r="E66" i="2" l="1"/>
  <c r="F66" i="2" s="1"/>
  <c r="H66" i="2" s="1"/>
  <c r="D67" i="2" s="1"/>
  <c r="E67" i="2" l="1"/>
  <c r="F67" i="2" s="1"/>
  <c r="H67" i="2"/>
  <c r="D68" i="2" s="1"/>
  <c r="E68" i="2" l="1"/>
  <c r="F68" i="2" s="1"/>
  <c r="H68" i="2" s="1"/>
  <c r="D69" i="2" s="1"/>
  <c r="E69" i="2" l="1"/>
  <c r="F69" i="2" s="1"/>
  <c r="H69" i="2"/>
  <c r="D70" i="2" s="1"/>
  <c r="E70" i="2" l="1"/>
  <c r="F70" i="2" s="1"/>
  <c r="H70" i="2" s="1"/>
  <c r="D71" i="2" s="1"/>
  <c r="E71" i="2" l="1"/>
  <c r="F71" i="2" s="1"/>
  <c r="H71" i="2"/>
  <c r="D72" i="2" s="1"/>
  <c r="E72" i="2" l="1"/>
  <c r="F72" i="2" s="1"/>
  <c r="H72" i="2"/>
  <c r="D73" i="2" s="1"/>
  <c r="E73" i="2" l="1"/>
  <c r="F73" i="2" s="1"/>
  <c r="H73" i="2" s="1"/>
  <c r="D74" i="2" s="1"/>
  <c r="E74" i="2" l="1"/>
  <c r="F74" i="2" s="1"/>
  <c r="H74" i="2" s="1"/>
  <c r="D75" i="2" s="1"/>
  <c r="E75" i="2" l="1"/>
  <c r="F75" i="2" s="1"/>
  <c r="H75" i="2"/>
  <c r="D76" i="2" s="1"/>
  <c r="E76" i="2" l="1"/>
  <c r="F76" i="2" s="1"/>
  <c r="H76" i="2"/>
  <c r="D77" i="2" s="1"/>
  <c r="E77" i="2" l="1"/>
  <c r="F77" i="2" s="1"/>
  <c r="H77" i="2" s="1"/>
  <c r="D78" i="2" s="1"/>
  <c r="E78" i="2" l="1"/>
  <c r="F78" i="2" s="1"/>
  <c r="H78" i="2" s="1"/>
  <c r="D79" i="2" s="1"/>
  <c r="E79" i="2" l="1"/>
  <c r="F79" i="2" s="1"/>
  <c r="H79" i="2" s="1"/>
  <c r="D80" i="2" s="1"/>
  <c r="E80" i="2" l="1"/>
  <c r="F80" i="2" s="1"/>
  <c r="H80" i="2" s="1"/>
  <c r="D81" i="2" s="1"/>
  <c r="E81" i="2" l="1"/>
  <c r="F81" i="2" s="1"/>
  <c r="H81" i="2"/>
  <c r="D82" i="2" s="1"/>
  <c r="E82" i="2" l="1"/>
  <c r="F82" i="2" s="1"/>
  <c r="H82" i="2"/>
  <c r="D83" i="2" s="1"/>
  <c r="E83" i="2" l="1"/>
  <c r="F83" i="2" s="1"/>
  <c r="H83" i="2"/>
  <c r="D84" i="2" s="1"/>
  <c r="E84" i="2" l="1"/>
  <c r="F84" i="2" s="1"/>
  <c r="H84" i="2"/>
  <c r="D85" i="2" s="1"/>
  <c r="E85" i="2" l="1"/>
  <c r="F85" i="2" s="1"/>
  <c r="H85" i="2" s="1"/>
  <c r="D86" i="2" s="1"/>
  <c r="E86" i="2" l="1"/>
  <c r="F86" i="2" s="1"/>
  <c r="H86" i="2" s="1"/>
  <c r="D87" i="2" s="1"/>
  <c r="E87" i="2" l="1"/>
  <c r="F87" i="2" s="1"/>
  <c r="H87" i="2"/>
  <c r="D88" i="2" s="1"/>
  <c r="E88" i="2" l="1"/>
  <c r="F88" i="2" s="1"/>
  <c r="H88" i="2"/>
  <c r="D89" i="2" s="1"/>
  <c r="E89" i="2" l="1"/>
  <c r="F89" i="2" s="1"/>
  <c r="H89" i="2" s="1"/>
  <c r="D90" i="2" s="1"/>
  <c r="E90" i="2" l="1"/>
  <c r="F90" i="2" s="1"/>
  <c r="H90" i="2" s="1"/>
  <c r="D91" i="2" s="1"/>
  <c r="E91" i="2" l="1"/>
  <c r="F91" i="2" s="1"/>
  <c r="H91" i="2"/>
  <c r="D92" i="2" s="1"/>
  <c r="E92" i="2" l="1"/>
  <c r="F92" i="2" s="1"/>
  <c r="H92" i="2" s="1"/>
  <c r="D93" i="2" s="1"/>
  <c r="E93" i="2" l="1"/>
  <c r="F93" i="2" s="1"/>
  <c r="H93" i="2"/>
  <c r="D94" i="2" s="1"/>
  <c r="E94" i="2" l="1"/>
  <c r="F94" i="2" s="1"/>
  <c r="H94" i="2"/>
  <c r="D95" i="2" s="1"/>
  <c r="E95" i="2" l="1"/>
  <c r="F95" i="2" s="1"/>
  <c r="H95" i="2"/>
  <c r="D96" i="2" s="1"/>
  <c r="E96" i="2" l="1"/>
  <c r="F96" i="2" s="1"/>
  <c r="H96" i="2"/>
  <c r="D97" i="2" s="1"/>
  <c r="E97" i="2" l="1"/>
  <c r="F97" i="2" s="1"/>
  <c r="H97" i="2" s="1"/>
  <c r="D98" i="2" s="1"/>
  <c r="E98" i="2" l="1"/>
  <c r="F98" i="2" s="1"/>
  <c r="H98" i="2" s="1"/>
  <c r="D99" i="2" s="1"/>
  <c r="E99" i="2" l="1"/>
  <c r="F99" i="2" s="1"/>
  <c r="H99" i="2"/>
  <c r="D100" i="2" s="1"/>
  <c r="E100" i="2" l="1"/>
  <c r="F100" i="2" s="1"/>
  <c r="H100" i="2"/>
  <c r="D101" i="2" s="1"/>
  <c r="E101" i="2" l="1"/>
  <c r="F101" i="2" s="1"/>
  <c r="H101" i="2" s="1"/>
  <c r="D102" i="2" s="1"/>
  <c r="E102" i="2" l="1"/>
  <c r="F102" i="2" s="1"/>
  <c r="H102" i="2" s="1"/>
  <c r="D103" i="2" s="1"/>
  <c r="E103" i="2" l="1"/>
  <c r="F103" i="2" s="1"/>
  <c r="H103" i="2"/>
  <c r="D104" i="2" s="1"/>
  <c r="E104" i="2" l="1"/>
  <c r="F104" i="2" s="1"/>
  <c r="H104" i="2" s="1"/>
  <c r="D105" i="2" s="1"/>
  <c r="E105" i="2" l="1"/>
  <c r="F105" i="2" s="1"/>
  <c r="H105" i="2"/>
  <c r="D106" i="2" s="1"/>
  <c r="E106" i="2" l="1"/>
  <c r="F106" i="2" s="1"/>
  <c r="H106" i="2" s="1"/>
  <c r="D107" i="2" s="1"/>
  <c r="E107" i="2" l="1"/>
  <c r="F107" i="2" s="1"/>
  <c r="H107" i="2"/>
  <c r="D108" i="2" s="1"/>
  <c r="E108" i="2" l="1"/>
  <c r="F108" i="2" s="1"/>
  <c r="H108" i="2"/>
  <c r="D109" i="2" s="1"/>
  <c r="E109" i="2" l="1"/>
  <c r="F109" i="2" s="1"/>
  <c r="H109" i="2" s="1"/>
</calcChain>
</file>

<file path=xl/sharedStrings.xml><?xml version="1.0" encoding="utf-8"?>
<sst xmlns="http://schemas.openxmlformats.org/spreadsheetml/2006/main" count="18" uniqueCount="17">
  <si>
    <t>Principle (₹)</t>
  </si>
  <si>
    <t>Years</t>
  </si>
  <si>
    <t>Yrly Intrest Rate (%)</t>
  </si>
  <si>
    <t>Yearly</t>
  </si>
  <si>
    <t>Monthly</t>
  </si>
  <si>
    <t>Principal</t>
  </si>
  <si>
    <t xml:space="preserve">Year </t>
  </si>
  <si>
    <t>Interest</t>
  </si>
  <si>
    <t>EMI</t>
  </si>
  <si>
    <t>Indicator</t>
  </si>
  <si>
    <t>OP_BAL</t>
  </si>
  <si>
    <t>PRIN_REP</t>
  </si>
  <si>
    <t>CL_BAL</t>
  </si>
  <si>
    <t>SNO</t>
  </si>
  <si>
    <t>INTEREST</t>
  </si>
  <si>
    <t>EMI CALCULATOR</t>
  </si>
  <si>
    <t>Back 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</si>
</sst>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₹&quot;\ #,##0.00;[Red]&quot;₹&quot;\ \-#,##0.00"/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rial Black"/>
      <family val="2"/>
    </font>
    <font>
      <sz val="11"/>
      <name val="Aptos Narrow"/>
      <family val="2"/>
      <scheme val="minor"/>
    </font>
    <font>
      <sz val="16"/>
      <name val="Aptos Narrow"/>
      <family val="2"/>
      <scheme val="minor"/>
    </font>
    <font>
      <sz val="12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8" fontId="0" fillId="0" borderId="0" xfId="0" applyNumberFormat="1"/>
    <xf numFmtId="0" fontId="1" fillId="0" borderId="1" xfId="0" applyFont="1" applyBorder="1"/>
    <xf numFmtId="0" fontId="1" fillId="0" borderId="0" xfId="0" applyFont="1"/>
    <xf numFmtId="8" fontId="1" fillId="0" borderId="1" xfId="0" applyNumberFormat="1" applyFont="1" applyBorder="1"/>
    <xf numFmtId="0" fontId="1" fillId="0" borderId="2" xfId="0" applyFont="1" applyBorder="1"/>
    <xf numFmtId="0" fontId="1" fillId="0" borderId="4" xfId="0" applyFont="1" applyBorder="1"/>
    <xf numFmtId="0" fontId="2" fillId="0" borderId="0" xfId="1"/>
    <xf numFmtId="0" fontId="0" fillId="3" borderId="1" xfId="0" applyFill="1" applyBorder="1"/>
    <xf numFmtId="8" fontId="0" fillId="3" borderId="1" xfId="0" applyNumberFormat="1" applyFill="1" applyBorder="1"/>
    <xf numFmtId="0" fontId="3" fillId="3" borderId="1" xfId="0" applyFont="1" applyFill="1" applyBorder="1"/>
    <xf numFmtId="0" fontId="4" fillId="0" borderId="0" xfId="0" applyFont="1"/>
    <xf numFmtId="0" fontId="4" fillId="2" borderId="0" xfId="0" applyFont="1" applyFill="1"/>
    <xf numFmtId="0" fontId="6" fillId="2" borderId="0" xfId="0" applyFont="1" applyFill="1"/>
    <xf numFmtId="164" fontId="6" fillId="2" borderId="0" xfId="0" applyNumberFormat="1" applyFont="1" applyFill="1"/>
    <xf numFmtId="8" fontId="6" fillId="2" borderId="0" xfId="0" applyNumberFormat="1" applyFont="1" applyFill="1"/>
    <xf numFmtId="8" fontId="4" fillId="0" borderId="0" xfId="0" applyNumberFormat="1" applyFont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5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6" fmlaLink="$M$13" max="30000" min="100" page="10" val="106"/>
</file>

<file path=xl/ctrlProps/ctrlProp2.xml><?xml version="1.0" encoding="utf-8"?>
<formControlPr xmlns="http://schemas.microsoft.com/office/spreadsheetml/2009/9/main" objectType="Spin" dx="26" fmlaLink="$M$15" max="30000" page="10" val="8"/>
</file>

<file path=xl/ctrlProps/ctrlProp3.xml><?xml version="1.0" encoding="utf-8"?>
<formControlPr xmlns="http://schemas.microsoft.com/office/spreadsheetml/2009/9/main" objectType="Spin" dx="26" fmlaLink="$M$17" max="150" min="70" page="10" val="72"/>
</file>

<file path=xl/ctrlProps/ctrlProp4.xml><?xml version="1.0" encoding="utf-8"?>
<formControlPr xmlns="http://schemas.microsoft.com/office/spreadsheetml/2009/9/main" objectType="Radio" firstButton="1" fmlaLink="$M$23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11</xdr:row>
          <xdr:rowOff>198120</xdr:rowOff>
        </xdr:from>
        <xdr:to>
          <xdr:col>8</xdr:col>
          <xdr:colOff>160020</xdr:colOff>
          <xdr:row>13</xdr:row>
          <xdr:rowOff>7620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190500</xdr:rowOff>
        </xdr:from>
        <xdr:to>
          <xdr:col>8</xdr:col>
          <xdr:colOff>160020</xdr:colOff>
          <xdr:row>15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15</xdr:row>
          <xdr:rowOff>182880</xdr:rowOff>
        </xdr:from>
        <xdr:to>
          <xdr:col>8</xdr:col>
          <xdr:colOff>175260</xdr:colOff>
          <xdr:row>16</xdr:row>
          <xdr:rowOff>220980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22</xdr:row>
          <xdr:rowOff>15240</xdr:rowOff>
        </xdr:from>
        <xdr:to>
          <xdr:col>6</xdr:col>
          <xdr:colOff>15240</xdr:colOff>
          <xdr:row>22</xdr:row>
          <xdr:rowOff>220980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335280</xdr:colOff>
          <xdr:row>24</xdr:row>
          <xdr:rowOff>0</xdr:rowOff>
        </xdr:from>
        <xdr:to>
          <xdr:col>6</xdr:col>
          <xdr:colOff>83820</xdr:colOff>
          <xdr:row>24</xdr:row>
          <xdr:rowOff>205740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598026</xdr:colOff>
      <xdr:row>25</xdr:row>
      <xdr:rowOff>163974</xdr:rowOff>
    </xdr:from>
    <xdr:to>
      <xdr:col>8</xdr:col>
      <xdr:colOff>598026</xdr:colOff>
      <xdr:row>27</xdr:row>
      <xdr:rowOff>28936</xdr:rowOff>
    </xdr:to>
    <xdr:sp macro="[0]!EMI" textlink="">
      <xdr:nvSpPr>
        <xdr:cNvPr id="2" name="TextBox 1">
          <a:extLst>
            <a:ext uri="{FF2B5EF4-FFF2-40B4-BE49-F238E27FC236}">
              <a16:creationId xmlns:a16="http://schemas.microsoft.com/office/drawing/2014/main" id="{FAAF5A4D-FF8D-B8DD-331E-6C3AF32DCC06}"/>
            </a:ext>
          </a:extLst>
        </xdr:cNvPr>
        <xdr:cNvSpPr txBox="1"/>
      </xdr:nvSpPr>
      <xdr:spPr>
        <a:xfrm>
          <a:off x="3054623" y="5350123"/>
          <a:ext cx="3912358" cy="228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1">
              <a:latin typeface="Arial Black" panose="020B0A04020102020204" pitchFamily="34" charset="0"/>
            </a:rPr>
            <a:t>CLICK</a:t>
          </a:r>
          <a:r>
            <a:rPr lang="en-IN" sz="1100" b="1" baseline="0">
              <a:latin typeface="Arial Black" panose="020B0A04020102020204" pitchFamily="34" charset="0"/>
            </a:rPr>
            <a:t> HERE TO GO THE SCHEDULE</a:t>
          </a:r>
          <a:endParaRPr lang="en-IN" sz="11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104799</xdr:colOff>
          <xdr:row>2</xdr:row>
          <xdr:rowOff>109813</xdr:rowOff>
        </xdr:from>
        <xdr:to>
          <xdr:col>20</xdr:col>
          <xdr:colOff>785688</xdr:colOff>
          <xdr:row>27</xdr:row>
          <xdr:rowOff>5347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4C89A92-1CCC-65BF-6996-FBFE6BB1A8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E$9:$J$29" spid="_x0000_s21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964617" y="479268"/>
              <a:ext cx="12076253" cy="4562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A011-66B5-4C5F-A95A-B2EC65DD6117}">
  <sheetPr codeName="Sheet1">
    <pageSetUpPr autoPageBreaks="0"/>
  </sheetPr>
  <dimension ref="E7:N43"/>
  <sheetViews>
    <sheetView showGridLines="0" showRowColHeaders="0" showZeros="0" topLeftCell="A16" zoomScale="130" zoomScaleNormal="130" workbookViewId="0"/>
  </sheetViews>
  <sheetFormatPr defaultRowHeight="14.4" x14ac:dyDescent="0.3"/>
  <cols>
    <col min="1" max="6" width="8.88671875" style="11"/>
    <col min="7" max="7" width="18.33203125" style="11" customWidth="1"/>
    <col min="8" max="8" width="20.77734375" style="11" customWidth="1"/>
    <col min="9" max="9" width="8.88671875" style="11"/>
    <col min="10" max="10" width="22.33203125" style="11" customWidth="1"/>
    <col min="11" max="11" width="13.6640625" style="11" customWidth="1"/>
    <col min="12" max="12" width="17.44140625" style="11" customWidth="1"/>
    <col min="13" max="16384" width="8.88671875" style="11"/>
  </cols>
  <sheetData>
    <row r="7" spans="5:13" ht="8.4" customHeight="1" x14ac:dyDescent="0.3"/>
    <row r="8" spans="5:13" ht="7.8" customHeight="1" x14ac:dyDescent="0.3"/>
    <row r="9" spans="5:13" x14ac:dyDescent="0.3">
      <c r="E9" s="12"/>
      <c r="F9" s="12"/>
      <c r="G9" s="12"/>
      <c r="H9" s="12"/>
      <c r="I9" s="12"/>
      <c r="J9" s="12"/>
    </row>
    <row r="10" spans="5:13" ht="21" x14ac:dyDescent="0.3">
      <c r="E10" s="12"/>
      <c r="F10" s="12"/>
      <c r="G10" s="20" t="s">
        <v>15</v>
      </c>
      <c r="H10" s="20"/>
      <c r="I10" s="12"/>
      <c r="J10" s="12"/>
    </row>
    <row r="11" spans="5:13" x14ac:dyDescent="0.3">
      <c r="E11" s="12"/>
      <c r="F11" s="12"/>
      <c r="G11" s="12"/>
      <c r="H11" s="12"/>
      <c r="I11" s="12"/>
      <c r="J11" s="12"/>
    </row>
    <row r="12" spans="5:13" ht="16.8" customHeight="1" x14ac:dyDescent="0.3">
      <c r="E12" s="12"/>
      <c r="F12" s="12"/>
      <c r="G12" s="12"/>
      <c r="H12" s="12"/>
      <c r="I12" s="12"/>
      <c r="J12" s="12"/>
    </row>
    <row r="13" spans="5:13" ht="16.2" customHeight="1" x14ac:dyDescent="0.45">
      <c r="E13" s="12"/>
      <c r="F13" s="13" t="s">
        <v>0</v>
      </c>
      <c r="G13" s="13"/>
      <c r="H13" s="13">
        <f>M13*10000</f>
        <v>1060000</v>
      </c>
      <c r="I13" s="12"/>
      <c r="J13" s="12"/>
      <c r="M13" s="11">
        <v>106</v>
      </c>
    </row>
    <row r="14" spans="5:13" ht="18.600000000000001" x14ac:dyDescent="0.45">
      <c r="E14" s="12"/>
      <c r="F14" s="13"/>
      <c r="G14" s="13"/>
      <c r="H14" s="13"/>
      <c r="I14" s="12"/>
      <c r="J14" s="12"/>
    </row>
    <row r="15" spans="5:13" ht="18" customHeight="1" x14ac:dyDescent="0.45">
      <c r="E15" s="12"/>
      <c r="F15" s="13" t="s">
        <v>1</v>
      </c>
      <c r="G15" s="13"/>
      <c r="H15" s="13">
        <f>M15</f>
        <v>8</v>
      </c>
      <c r="I15" s="12"/>
      <c r="J15" s="12"/>
      <c r="M15" s="11">
        <v>8</v>
      </c>
    </row>
    <row r="16" spans="5:13" ht="18.600000000000001" x14ac:dyDescent="0.45">
      <c r="E16" s="12"/>
      <c r="F16" s="13"/>
      <c r="G16" s="13"/>
      <c r="H16" s="13"/>
      <c r="I16" s="12"/>
      <c r="J16" s="12"/>
    </row>
    <row r="17" spans="5:14" ht="18" customHeight="1" x14ac:dyDescent="0.45">
      <c r="E17" s="12"/>
      <c r="F17" s="13" t="s">
        <v>2</v>
      </c>
      <c r="G17" s="13"/>
      <c r="H17" s="14">
        <f>M17/10</f>
        <v>7.2</v>
      </c>
      <c r="I17" s="12"/>
      <c r="J17" s="12"/>
      <c r="M17" s="11">
        <v>72</v>
      </c>
    </row>
    <row r="18" spans="5:14" ht="18.600000000000001" x14ac:dyDescent="0.45">
      <c r="E18" s="12"/>
      <c r="F18" s="13"/>
      <c r="G18" s="13"/>
      <c r="H18" s="13"/>
      <c r="I18" s="12"/>
      <c r="J18" s="12"/>
    </row>
    <row r="19" spans="5:14" ht="18.600000000000001" x14ac:dyDescent="0.45">
      <c r="E19" s="12"/>
      <c r="F19" s="13"/>
      <c r="G19" s="13"/>
      <c r="H19" s="13"/>
      <c r="I19" s="12"/>
      <c r="J19" s="12"/>
    </row>
    <row r="20" spans="5:14" ht="18.600000000000001" x14ac:dyDescent="0.45">
      <c r="E20" s="12"/>
      <c r="F20" s="13"/>
      <c r="G20" s="13"/>
      <c r="H20" s="13"/>
      <c r="I20" s="12"/>
      <c r="J20" s="12"/>
    </row>
    <row r="21" spans="5:14" ht="18.600000000000001" x14ac:dyDescent="0.45">
      <c r="E21" s="12"/>
      <c r="F21" s="13"/>
      <c r="G21" s="13"/>
      <c r="H21" s="13"/>
      <c r="I21" s="12"/>
      <c r="J21" s="12"/>
    </row>
    <row r="22" spans="5:14" ht="18.600000000000001" x14ac:dyDescent="0.45">
      <c r="E22" s="12"/>
      <c r="F22" s="13"/>
      <c r="G22" s="13"/>
      <c r="H22" s="13"/>
      <c r="I22" s="12"/>
      <c r="J22" s="12"/>
    </row>
    <row r="23" spans="5:14" ht="18.600000000000001" x14ac:dyDescent="0.45">
      <c r="E23" s="12"/>
      <c r="F23" s="13" t="s">
        <v>3</v>
      </c>
      <c r="G23" s="13"/>
      <c r="H23" s="15" t="str">
        <f>IF(M23=1,-PMT(H17%,$H$15,$H$13,,0),"")</f>
        <v/>
      </c>
      <c r="I23" s="12"/>
      <c r="J23" s="12"/>
      <c r="M23" s="11">
        <v>2</v>
      </c>
    </row>
    <row r="24" spans="5:14" ht="18.600000000000001" x14ac:dyDescent="0.45">
      <c r="E24" s="12"/>
      <c r="F24" s="13"/>
      <c r="G24" s="13"/>
      <c r="H24" s="13"/>
      <c r="I24" s="12"/>
      <c r="J24" s="12"/>
    </row>
    <row r="25" spans="5:14" ht="18.600000000000001" x14ac:dyDescent="0.45">
      <c r="E25" s="12"/>
      <c r="F25" s="13" t="s">
        <v>4</v>
      </c>
      <c r="G25" s="13"/>
      <c r="H25" s="15">
        <f>IF(M23=2,-PMT(H17%/12,$H$15*12,$H$13,,0),"")</f>
        <v>14557.466487730451</v>
      </c>
      <c r="I25" s="12"/>
      <c r="J25" s="12"/>
    </row>
    <row r="26" spans="5:14" x14ac:dyDescent="0.3">
      <c r="E26" s="12"/>
      <c r="F26" s="12"/>
      <c r="G26" s="12"/>
      <c r="H26" s="12"/>
      <c r="I26" s="12"/>
      <c r="J26" s="12"/>
      <c r="M26" s="11">
        <f>IF(M23=1,-PMT(H17%,H15,H13,,0),-PMT(H17%/12,H15*12,H13,,0))</f>
        <v>14557.466487730451</v>
      </c>
      <c r="N26" s="11" t="str">
        <f ca="1">_xlfn.FORMULATEXT(M26)</f>
        <v>=IF(M23=1,-PMT(H17%,H15,H13,,0),-PMT(H17%/12,H15*12,H13,,0))</v>
      </c>
    </row>
    <row r="27" spans="5:14" x14ac:dyDescent="0.3">
      <c r="E27" s="12"/>
      <c r="F27" s="17"/>
      <c r="G27" s="18"/>
      <c r="H27" s="18"/>
      <c r="I27" s="19"/>
      <c r="J27" s="12"/>
    </row>
    <row r="28" spans="5:14" x14ac:dyDescent="0.3">
      <c r="E28" s="12"/>
      <c r="F28" s="12"/>
      <c r="G28" s="12"/>
      <c r="H28" s="12"/>
      <c r="I28" s="12"/>
      <c r="J28" s="12"/>
    </row>
    <row r="29" spans="5:14" x14ac:dyDescent="0.3">
      <c r="E29" s="12"/>
      <c r="F29" s="12"/>
      <c r="G29" s="12"/>
      <c r="H29" s="12"/>
      <c r="I29" s="12"/>
      <c r="J29" s="12"/>
    </row>
    <row r="36" spans="7:12" x14ac:dyDescent="0.3">
      <c r="J36" s="16"/>
      <c r="K36" s="16"/>
      <c r="L36" s="16"/>
    </row>
    <row r="37" spans="7:12" x14ac:dyDescent="0.3">
      <c r="H37" s="16"/>
      <c r="J37" s="16"/>
      <c r="K37" s="16"/>
      <c r="L37" s="16"/>
    </row>
    <row r="38" spans="7:12" x14ac:dyDescent="0.3">
      <c r="H38" s="16"/>
      <c r="J38" s="16"/>
      <c r="K38" s="16"/>
      <c r="L38" s="16"/>
    </row>
    <row r="39" spans="7:12" x14ac:dyDescent="0.3">
      <c r="H39" s="16"/>
      <c r="J39" s="16"/>
      <c r="K39" s="16"/>
      <c r="L39" s="16"/>
    </row>
    <row r="40" spans="7:12" x14ac:dyDescent="0.3">
      <c r="H40" s="16"/>
      <c r="J40" s="16"/>
      <c r="K40" s="16"/>
      <c r="L40" s="16"/>
    </row>
    <row r="41" spans="7:12" x14ac:dyDescent="0.3">
      <c r="H41" s="16"/>
      <c r="J41" s="16"/>
      <c r="K41" s="16"/>
      <c r="L41" s="16"/>
    </row>
    <row r="42" spans="7:12" x14ac:dyDescent="0.3">
      <c r="H42" s="16"/>
      <c r="J42" s="16"/>
      <c r="K42" s="16"/>
      <c r="L42" s="16"/>
    </row>
    <row r="43" spans="7:12" x14ac:dyDescent="0.3">
      <c r="G43" s="16"/>
      <c r="I43" s="16"/>
      <c r="J43" s="16"/>
      <c r="K43" s="16"/>
    </row>
  </sheetData>
  <mergeCells count="2">
    <mergeCell ref="F27:I27"/>
    <mergeCell ref="G10:H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8</xdr:col>
                    <xdr:colOff>7620</xdr:colOff>
                    <xdr:row>11</xdr:row>
                    <xdr:rowOff>198120</xdr:rowOff>
                  </from>
                  <to>
                    <xdr:col>8</xdr:col>
                    <xdr:colOff>160020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Pict="0">
                <anchor moveWithCells="1" sizeWithCells="1">
                  <from>
                    <xdr:col>8</xdr:col>
                    <xdr:colOff>7620</xdr:colOff>
                    <xdr:row>13</xdr:row>
                    <xdr:rowOff>190500</xdr:rowOff>
                  </from>
                  <to>
                    <xdr:col>8</xdr:col>
                    <xdr:colOff>160020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Pict="0">
                <anchor moveWithCells="1" sizeWithCells="1">
                  <from>
                    <xdr:col>8</xdr:col>
                    <xdr:colOff>22860</xdr:colOff>
                    <xdr:row>15</xdr:row>
                    <xdr:rowOff>182880</xdr:rowOff>
                  </from>
                  <to>
                    <xdr:col>8</xdr:col>
                    <xdr:colOff>175260</xdr:colOff>
                    <xdr:row>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Option Button 9">
              <controlPr defaultSize="0" autoFill="0" autoLine="0" autoPict="0">
                <anchor moveWithCells="1">
                  <from>
                    <xdr:col>4</xdr:col>
                    <xdr:colOff>312420</xdr:colOff>
                    <xdr:row>22</xdr:row>
                    <xdr:rowOff>15240</xdr:rowOff>
                  </from>
                  <to>
                    <xdr:col>6</xdr:col>
                    <xdr:colOff>15240</xdr:colOff>
                    <xdr:row>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>
                <anchor moveWithCells="1">
                  <from>
                    <xdr:col>4</xdr:col>
                    <xdr:colOff>335280</xdr:colOff>
                    <xdr:row>24</xdr:row>
                    <xdr:rowOff>0</xdr:rowOff>
                  </from>
                  <to>
                    <xdr:col>6</xdr:col>
                    <xdr:colOff>83820</xdr:colOff>
                    <xdr:row>24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0BEAD-11CB-4394-8354-9317E5E57996}">
  <sheetPr codeName="Sheet2"/>
  <dimension ref="A1:U109"/>
  <sheetViews>
    <sheetView showGridLines="0" showRowColHeaders="0" showZeros="0" tabSelected="1" zoomScale="73" zoomScaleNormal="70" workbookViewId="0">
      <selection activeCell="I18" sqref="I18"/>
    </sheetView>
  </sheetViews>
  <sheetFormatPr defaultRowHeight="14.4" x14ac:dyDescent="0.3"/>
  <cols>
    <col min="3" max="3" width="13.109375" bestFit="1" customWidth="1"/>
    <col min="4" max="4" width="18.77734375" customWidth="1"/>
    <col min="5" max="5" width="22" customWidth="1"/>
    <col min="6" max="6" width="23.88671875" customWidth="1"/>
    <col min="7" max="7" width="13.109375" customWidth="1"/>
    <col min="8" max="8" width="18.33203125" customWidth="1"/>
    <col min="9" max="9" width="16.44140625" customWidth="1"/>
    <col min="10" max="16" width="13.109375" customWidth="1"/>
    <col min="17" max="17" width="26.33203125" customWidth="1"/>
    <col min="18" max="18" width="12.6640625" customWidth="1"/>
    <col min="19" max="19" width="16.77734375" customWidth="1"/>
    <col min="20" max="20" width="18.44140625" customWidth="1"/>
    <col min="21" max="21" width="17.5546875" customWidth="1"/>
  </cols>
  <sheetData>
    <row r="1" spans="1:21" x14ac:dyDescent="0.3">
      <c r="A1" s="7" t="s">
        <v>16</v>
      </c>
    </row>
    <row r="4" spans="1:21" x14ac:dyDescent="0.3">
      <c r="B4" s="2" t="s">
        <v>5</v>
      </c>
      <c r="C4" s="2">
        <f>Sheet1!H13</f>
        <v>1060000</v>
      </c>
      <c r="D4" s="3"/>
      <c r="E4" s="3"/>
    </row>
    <row r="5" spans="1:21" x14ac:dyDescent="0.3">
      <c r="B5" s="2" t="s">
        <v>6</v>
      </c>
      <c r="C5" s="2">
        <f>Sheet1!H15</f>
        <v>8</v>
      </c>
      <c r="D5" s="3"/>
      <c r="E5" s="3"/>
    </row>
    <row r="6" spans="1:21" x14ac:dyDescent="0.3">
      <c r="B6" s="2" t="s">
        <v>7</v>
      </c>
      <c r="C6" s="2">
        <f>Sheet1!H17</f>
        <v>7.2</v>
      </c>
      <c r="D6" s="3"/>
      <c r="E6" s="3"/>
    </row>
    <row r="7" spans="1:21" x14ac:dyDescent="0.3">
      <c r="B7" s="3"/>
      <c r="C7" s="3"/>
      <c r="D7" s="3"/>
      <c r="E7" s="3"/>
    </row>
    <row r="8" spans="1:21" x14ac:dyDescent="0.3">
      <c r="B8" s="2" t="s">
        <v>8</v>
      </c>
      <c r="C8" s="4">
        <f>Sheet1!M26</f>
        <v>14557.466487730451</v>
      </c>
      <c r="D8" s="5" t="s">
        <v>9</v>
      </c>
      <c r="E8" s="6">
        <f>Sheet1!M23</f>
        <v>2</v>
      </c>
      <c r="F8" s="1"/>
      <c r="G8" s="1"/>
      <c r="H8" s="1"/>
      <c r="L8" s="1"/>
      <c r="O8" s="1"/>
      <c r="P8" s="1"/>
    </row>
    <row r="12" spans="1:21" x14ac:dyDescent="0.3">
      <c r="Q12" s="1"/>
      <c r="S12" s="1"/>
      <c r="T12" s="1"/>
      <c r="U12" s="1"/>
    </row>
    <row r="13" spans="1:21" ht="17.399999999999999" x14ac:dyDescent="0.45">
      <c r="C13" s="10" t="s">
        <v>13</v>
      </c>
      <c r="D13" s="10" t="s">
        <v>10</v>
      </c>
      <c r="E13" s="10" t="s">
        <v>14</v>
      </c>
      <c r="F13" s="10" t="s">
        <v>11</v>
      </c>
      <c r="G13" s="10" t="s">
        <v>8</v>
      </c>
      <c r="H13" s="10" t="s">
        <v>12</v>
      </c>
    </row>
    <row r="14" spans="1:21" x14ac:dyDescent="0.3">
      <c r="C14" s="8">
        <v>1</v>
      </c>
      <c r="D14" s="8">
        <f>C4</f>
        <v>1060000</v>
      </c>
      <c r="E14" s="8">
        <f>D14*($C$6%/12)</f>
        <v>6360.0000000000009</v>
      </c>
      <c r="F14" s="9">
        <f>G14-E14</f>
        <v>8197.4664877304494</v>
      </c>
      <c r="G14" s="9">
        <f>$C$8</f>
        <v>14557.466487730451</v>
      </c>
      <c r="H14" s="9">
        <f>D14-F14</f>
        <v>1051802.5335122696</v>
      </c>
    </row>
    <row r="15" spans="1:21" x14ac:dyDescent="0.3">
      <c r="C15" s="8">
        <v>2</v>
      </c>
      <c r="D15" s="9">
        <f>H14</f>
        <v>1051802.5335122696</v>
      </c>
      <c r="E15" s="8">
        <f>D15*($C$6%/12)</f>
        <v>6310.8152010736185</v>
      </c>
      <c r="F15" s="9">
        <f>G15-E15</f>
        <v>8246.6512866568337</v>
      </c>
      <c r="G15" s="9">
        <f>$C$8</f>
        <v>14557.466487730451</v>
      </c>
      <c r="H15" s="9">
        <f>D15-F15</f>
        <v>1043555.8822256128</v>
      </c>
    </row>
    <row r="16" spans="1:21" x14ac:dyDescent="0.3">
      <c r="C16" s="8">
        <v>3</v>
      </c>
      <c r="D16" s="9">
        <f t="shared" ref="D16:D79" si="0">H15</f>
        <v>1043555.8822256128</v>
      </c>
      <c r="E16" s="8">
        <f t="shared" ref="E16:E79" si="1">D16*($C$6%/12)</f>
        <v>6261.335293353678</v>
      </c>
      <c r="F16" s="9">
        <f t="shared" ref="F16:F79" si="2">G16-E16</f>
        <v>8296.1311943767723</v>
      </c>
      <c r="G16" s="9">
        <f t="shared" ref="G16:G79" si="3">$C$8</f>
        <v>14557.466487730451</v>
      </c>
      <c r="H16" s="9">
        <f t="shared" ref="H16:H79" si="4">D16-F16</f>
        <v>1035259.751031236</v>
      </c>
    </row>
    <row r="17" spans="3:8" x14ac:dyDescent="0.3">
      <c r="C17" s="8">
        <v>4</v>
      </c>
      <c r="D17" s="9">
        <f t="shared" si="0"/>
        <v>1035259.751031236</v>
      </c>
      <c r="E17" s="8">
        <f t="shared" si="1"/>
        <v>6211.5585061874172</v>
      </c>
      <c r="F17" s="9">
        <f t="shared" si="2"/>
        <v>8345.9079815430341</v>
      </c>
      <c r="G17" s="9">
        <f t="shared" si="3"/>
        <v>14557.466487730451</v>
      </c>
      <c r="H17" s="9">
        <f t="shared" si="4"/>
        <v>1026913.843049693</v>
      </c>
    </row>
    <row r="18" spans="3:8" x14ac:dyDescent="0.3">
      <c r="C18" s="8">
        <v>5</v>
      </c>
      <c r="D18" s="9">
        <f t="shared" si="0"/>
        <v>1026913.843049693</v>
      </c>
      <c r="E18" s="8">
        <f t="shared" si="1"/>
        <v>6161.4830582981594</v>
      </c>
      <c r="F18" s="9">
        <f t="shared" si="2"/>
        <v>8395.9834294322918</v>
      </c>
      <c r="G18" s="9">
        <f t="shared" si="3"/>
        <v>14557.466487730451</v>
      </c>
      <c r="H18" s="9">
        <f t="shared" si="4"/>
        <v>1018517.8596202608</v>
      </c>
    </row>
    <row r="19" spans="3:8" x14ac:dyDescent="0.3">
      <c r="C19" s="8">
        <v>6</v>
      </c>
      <c r="D19" s="9">
        <f t="shared" si="0"/>
        <v>1018517.8596202608</v>
      </c>
      <c r="E19" s="8">
        <f t="shared" si="1"/>
        <v>6111.1071577215653</v>
      </c>
      <c r="F19" s="9">
        <f t="shared" si="2"/>
        <v>8446.3593300088869</v>
      </c>
      <c r="G19" s="9">
        <f t="shared" si="3"/>
        <v>14557.466487730451</v>
      </c>
      <c r="H19" s="9">
        <f t="shared" si="4"/>
        <v>1010071.5002902519</v>
      </c>
    </row>
    <row r="20" spans="3:8" x14ac:dyDescent="0.3">
      <c r="C20" s="8">
        <v>7</v>
      </c>
      <c r="D20" s="9">
        <f t="shared" si="0"/>
        <v>1010071.5002902519</v>
      </c>
      <c r="E20" s="8">
        <f t="shared" si="1"/>
        <v>6060.4290017415124</v>
      </c>
      <c r="F20" s="9">
        <f t="shared" si="2"/>
        <v>8497.037485988938</v>
      </c>
      <c r="G20" s="9">
        <f t="shared" si="3"/>
        <v>14557.466487730451</v>
      </c>
      <c r="H20" s="9">
        <f t="shared" si="4"/>
        <v>1001574.462804263</v>
      </c>
    </row>
    <row r="21" spans="3:8" x14ac:dyDescent="0.3">
      <c r="C21" s="8">
        <v>8</v>
      </c>
      <c r="D21" s="9">
        <f t="shared" si="0"/>
        <v>1001574.462804263</v>
      </c>
      <c r="E21" s="8">
        <f t="shared" si="1"/>
        <v>6009.446776825579</v>
      </c>
      <c r="F21" s="9">
        <f t="shared" si="2"/>
        <v>8548.0197109048713</v>
      </c>
      <c r="G21" s="9">
        <f t="shared" si="3"/>
        <v>14557.466487730451</v>
      </c>
      <c r="H21" s="9">
        <f t="shared" si="4"/>
        <v>993026.44309335807</v>
      </c>
    </row>
    <row r="22" spans="3:8" x14ac:dyDescent="0.3">
      <c r="C22" s="8">
        <v>9</v>
      </c>
      <c r="D22" s="9">
        <f t="shared" si="0"/>
        <v>993026.44309335807</v>
      </c>
      <c r="E22" s="8">
        <f t="shared" si="1"/>
        <v>5958.158658560149</v>
      </c>
      <c r="F22" s="9">
        <f t="shared" si="2"/>
        <v>8599.3078291703023</v>
      </c>
      <c r="G22" s="9">
        <f t="shared" si="3"/>
        <v>14557.466487730451</v>
      </c>
      <c r="H22" s="9">
        <f t="shared" si="4"/>
        <v>984427.13526418782</v>
      </c>
    </row>
    <row r="23" spans="3:8" x14ac:dyDescent="0.3">
      <c r="C23" s="8">
        <v>10</v>
      </c>
      <c r="D23" s="9">
        <f t="shared" si="0"/>
        <v>984427.13526418782</v>
      </c>
      <c r="E23" s="8">
        <f t="shared" si="1"/>
        <v>5906.5628115851277</v>
      </c>
      <c r="F23" s="9">
        <f t="shared" si="2"/>
        <v>8650.9036761453244</v>
      </c>
      <c r="G23" s="9">
        <f t="shared" si="3"/>
        <v>14557.466487730451</v>
      </c>
      <c r="H23" s="9">
        <f t="shared" si="4"/>
        <v>975776.23158804246</v>
      </c>
    </row>
    <row r="24" spans="3:8" x14ac:dyDescent="0.3">
      <c r="C24" s="8">
        <v>11</v>
      </c>
      <c r="D24" s="9">
        <f t="shared" si="0"/>
        <v>975776.23158804246</v>
      </c>
      <c r="E24" s="8">
        <f t="shared" si="1"/>
        <v>5854.6573895282554</v>
      </c>
      <c r="F24" s="9">
        <f t="shared" si="2"/>
        <v>8702.8090982021968</v>
      </c>
      <c r="G24" s="9">
        <f t="shared" si="3"/>
        <v>14557.466487730451</v>
      </c>
      <c r="H24" s="9">
        <f t="shared" si="4"/>
        <v>967073.4224898403</v>
      </c>
    </row>
    <row r="25" spans="3:8" x14ac:dyDescent="0.3">
      <c r="C25" s="8">
        <v>12</v>
      </c>
      <c r="D25" s="9">
        <f t="shared" si="0"/>
        <v>967073.4224898403</v>
      </c>
      <c r="E25" s="8">
        <f t="shared" si="1"/>
        <v>5802.4405349390427</v>
      </c>
      <c r="F25" s="9">
        <f t="shared" si="2"/>
        <v>8755.0259527914095</v>
      </c>
      <c r="G25" s="9">
        <f t="shared" si="3"/>
        <v>14557.466487730451</v>
      </c>
      <c r="H25" s="9">
        <f t="shared" si="4"/>
        <v>958318.39653704886</v>
      </c>
    </row>
    <row r="26" spans="3:8" x14ac:dyDescent="0.3">
      <c r="C26" s="8">
        <v>13</v>
      </c>
      <c r="D26" s="9">
        <f t="shared" si="0"/>
        <v>958318.39653704886</v>
      </c>
      <c r="E26" s="8">
        <f t="shared" si="1"/>
        <v>5749.9103792222941</v>
      </c>
      <c r="F26" s="9">
        <f t="shared" si="2"/>
        <v>8807.5561085081572</v>
      </c>
      <c r="G26" s="9">
        <f t="shared" si="3"/>
        <v>14557.466487730451</v>
      </c>
      <c r="H26" s="9">
        <f t="shared" si="4"/>
        <v>949510.84042854072</v>
      </c>
    </row>
    <row r="27" spans="3:8" x14ac:dyDescent="0.3">
      <c r="C27" s="8">
        <v>14</v>
      </c>
      <c r="D27" s="9">
        <f t="shared" si="0"/>
        <v>949510.84042854072</v>
      </c>
      <c r="E27" s="8">
        <f t="shared" si="1"/>
        <v>5697.0650425712456</v>
      </c>
      <c r="F27" s="9">
        <f t="shared" si="2"/>
        <v>8860.4014451592047</v>
      </c>
      <c r="G27" s="9">
        <f t="shared" si="3"/>
        <v>14557.466487730451</v>
      </c>
      <c r="H27" s="9">
        <f t="shared" si="4"/>
        <v>940650.43898338149</v>
      </c>
    </row>
    <row r="28" spans="3:8" x14ac:dyDescent="0.3">
      <c r="C28" s="8">
        <v>15</v>
      </c>
      <c r="D28" s="9">
        <f t="shared" si="0"/>
        <v>940650.43898338149</v>
      </c>
      <c r="E28" s="8">
        <f t="shared" si="1"/>
        <v>5643.9026339002903</v>
      </c>
      <c r="F28" s="9">
        <f t="shared" si="2"/>
        <v>8913.563853830161</v>
      </c>
      <c r="G28" s="9">
        <f t="shared" si="3"/>
        <v>14557.466487730451</v>
      </c>
      <c r="H28" s="9">
        <f t="shared" si="4"/>
        <v>931736.87512955128</v>
      </c>
    </row>
    <row r="29" spans="3:8" x14ac:dyDescent="0.3">
      <c r="C29" s="8">
        <v>16</v>
      </c>
      <c r="D29" s="9">
        <f t="shared" si="0"/>
        <v>931736.87512955128</v>
      </c>
      <c r="E29" s="8">
        <f t="shared" si="1"/>
        <v>5590.4212507773082</v>
      </c>
      <c r="F29" s="9">
        <f t="shared" si="2"/>
        <v>8967.0452369531431</v>
      </c>
      <c r="G29" s="9">
        <f t="shared" si="3"/>
        <v>14557.466487730451</v>
      </c>
      <c r="H29" s="9">
        <f t="shared" si="4"/>
        <v>922769.82989259809</v>
      </c>
    </row>
    <row r="30" spans="3:8" x14ac:dyDescent="0.3">
      <c r="C30" s="8">
        <v>17</v>
      </c>
      <c r="D30" s="9">
        <f t="shared" si="0"/>
        <v>922769.82989259809</v>
      </c>
      <c r="E30" s="8">
        <f t="shared" si="1"/>
        <v>5536.6189793555895</v>
      </c>
      <c r="F30" s="9">
        <f t="shared" si="2"/>
        <v>9020.8475083748617</v>
      </c>
      <c r="G30" s="9">
        <f t="shared" si="3"/>
        <v>14557.466487730451</v>
      </c>
      <c r="H30" s="9">
        <f t="shared" si="4"/>
        <v>913748.98238422326</v>
      </c>
    </row>
    <row r="31" spans="3:8" x14ac:dyDescent="0.3">
      <c r="C31" s="8">
        <v>18</v>
      </c>
      <c r="D31" s="9">
        <f t="shared" si="0"/>
        <v>913748.98238422326</v>
      </c>
      <c r="E31" s="8">
        <f t="shared" si="1"/>
        <v>5482.4938943053403</v>
      </c>
      <c r="F31" s="9">
        <f t="shared" si="2"/>
        <v>9074.972593425111</v>
      </c>
      <c r="G31" s="9">
        <f t="shared" si="3"/>
        <v>14557.466487730451</v>
      </c>
      <c r="H31" s="9">
        <f t="shared" si="4"/>
        <v>904674.00979079818</v>
      </c>
    </row>
    <row r="32" spans="3:8" x14ac:dyDescent="0.3">
      <c r="C32" s="8">
        <v>19</v>
      </c>
      <c r="D32" s="9">
        <f t="shared" si="0"/>
        <v>904674.00979079818</v>
      </c>
      <c r="E32" s="8">
        <f t="shared" si="1"/>
        <v>5428.0440587447902</v>
      </c>
      <c r="F32" s="9">
        <f t="shared" si="2"/>
        <v>9129.4224289856611</v>
      </c>
      <c r="G32" s="9">
        <f t="shared" si="3"/>
        <v>14557.466487730451</v>
      </c>
      <c r="H32" s="9">
        <f t="shared" si="4"/>
        <v>895544.58736181248</v>
      </c>
    </row>
    <row r="33" spans="3:8" x14ac:dyDescent="0.3">
      <c r="C33" s="8">
        <v>20</v>
      </c>
      <c r="D33" s="9">
        <f t="shared" si="0"/>
        <v>895544.58736181248</v>
      </c>
      <c r="E33" s="8">
        <f t="shared" si="1"/>
        <v>5373.2675241708757</v>
      </c>
      <c r="F33" s="9">
        <f t="shared" si="2"/>
        <v>9184.1989635595746</v>
      </c>
      <c r="G33" s="9">
        <f t="shared" si="3"/>
        <v>14557.466487730451</v>
      </c>
      <c r="H33" s="9">
        <f t="shared" si="4"/>
        <v>886360.38839825289</v>
      </c>
    </row>
    <row r="34" spans="3:8" x14ac:dyDescent="0.3">
      <c r="C34" s="8">
        <v>21</v>
      </c>
      <c r="D34" s="9">
        <f t="shared" si="0"/>
        <v>886360.38839825289</v>
      </c>
      <c r="E34" s="8">
        <f t="shared" si="1"/>
        <v>5318.1623303895185</v>
      </c>
      <c r="F34" s="9">
        <f t="shared" si="2"/>
        <v>9239.3041573409319</v>
      </c>
      <c r="G34" s="9">
        <f t="shared" si="3"/>
        <v>14557.466487730451</v>
      </c>
      <c r="H34" s="9">
        <f t="shared" si="4"/>
        <v>877121.08424091199</v>
      </c>
    </row>
    <row r="35" spans="3:8" x14ac:dyDescent="0.3">
      <c r="C35" s="8">
        <v>22</v>
      </c>
      <c r="D35" s="9">
        <f t="shared" si="0"/>
        <v>877121.08424091199</v>
      </c>
      <c r="E35" s="8">
        <f t="shared" si="1"/>
        <v>5262.7265054454729</v>
      </c>
      <c r="F35" s="9">
        <f t="shared" si="2"/>
        <v>9294.7399822849784</v>
      </c>
      <c r="G35" s="9">
        <f t="shared" si="3"/>
        <v>14557.466487730451</v>
      </c>
      <c r="H35" s="9">
        <f t="shared" si="4"/>
        <v>867826.34425862704</v>
      </c>
    </row>
    <row r="36" spans="3:8" x14ac:dyDescent="0.3">
      <c r="C36" s="8">
        <v>23</v>
      </c>
      <c r="D36" s="9">
        <f t="shared" si="0"/>
        <v>867826.34425862704</v>
      </c>
      <c r="E36" s="8">
        <f t="shared" si="1"/>
        <v>5206.958065551763</v>
      </c>
      <c r="F36" s="9">
        <f t="shared" si="2"/>
        <v>9350.5084221786892</v>
      </c>
      <c r="G36" s="9">
        <f t="shared" si="3"/>
        <v>14557.466487730451</v>
      </c>
      <c r="H36" s="9">
        <f t="shared" si="4"/>
        <v>858475.83583644836</v>
      </c>
    </row>
    <row r="37" spans="3:8" x14ac:dyDescent="0.3">
      <c r="C37" s="8">
        <v>24</v>
      </c>
      <c r="D37" s="9">
        <f t="shared" si="0"/>
        <v>858475.83583644836</v>
      </c>
      <c r="E37" s="8">
        <f t="shared" si="1"/>
        <v>5150.8550150186911</v>
      </c>
      <c r="F37" s="9">
        <f t="shared" si="2"/>
        <v>9406.6114727117601</v>
      </c>
      <c r="G37" s="9">
        <f t="shared" si="3"/>
        <v>14557.466487730451</v>
      </c>
      <c r="H37" s="9">
        <f t="shared" si="4"/>
        <v>849069.22436373658</v>
      </c>
    </row>
    <row r="38" spans="3:8" x14ac:dyDescent="0.3">
      <c r="C38" s="8">
        <v>25</v>
      </c>
      <c r="D38" s="9">
        <f t="shared" si="0"/>
        <v>849069.22436373658</v>
      </c>
      <c r="E38" s="8">
        <f t="shared" si="1"/>
        <v>5094.4153461824199</v>
      </c>
      <c r="F38" s="9">
        <f t="shared" si="2"/>
        <v>9463.0511415480323</v>
      </c>
      <c r="G38" s="9">
        <f t="shared" si="3"/>
        <v>14557.466487730451</v>
      </c>
      <c r="H38" s="9">
        <f t="shared" si="4"/>
        <v>839606.17322218849</v>
      </c>
    </row>
    <row r="39" spans="3:8" x14ac:dyDescent="0.3">
      <c r="C39" s="8">
        <v>26</v>
      </c>
      <c r="D39" s="9">
        <f t="shared" si="0"/>
        <v>839606.17322218849</v>
      </c>
      <c r="E39" s="8">
        <f t="shared" si="1"/>
        <v>5037.6370393331317</v>
      </c>
      <c r="F39" s="9">
        <f t="shared" si="2"/>
        <v>9519.8294483973186</v>
      </c>
      <c r="G39" s="9">
        <f t="shared" si="3"/>
        <v>14557.466487730451</v>
      </c>
      <c r="H39" s="9">
        <f t="shared" si="4"/>
        <v>830086.34377379122</v>
      </c>
    </row>
    <row r="40" spans="3:8" x14ac:dyDescent="0.3">
      <c r="C40" s="8">
        <v>27</v>
      </c>
      <c r="D40" s="9">
        <f t="shared" si="0"/>
        <v>830086.34377379122</v>
      </c>
      <c r="E40" s="8">
        <f t="shared" si="1"/>
        <v>4980.5180626427482</v>
      </c>
      <c r="F40" s="9">
        <f t="shared" si="2"/>
        <v>9576.9484250877031</v>
      </c>
      <c r="G40" s="9">
        <f t="shared" si="3"/>
        <v>14557.466487730451</v>
      </c>
      <c r="H40" s="9">
        <f t="shared" si="4"/>
        <v>820509.39534870349</v>
      </c>
    </row>
    <row r="41" spans="3:8" x14ac:dyDescent="0.3">
      <c r="C41" s="8">
        <v>28</v>
      </c>
      <c r="D41" s="9">
        <f t="shared" si="0"/>
        <v>820509.39534870349</v>
      </c>
      <c r="E41" s="8">
        <f t="shared" si="1"/>
        <v>4923.0563720922219</v>
      </c>
      <c r="F41" s="9">
        <f t="shared" si="2"/>
        <v>9634.4101156382294</v>
      </c>
      <c r="G41" s="9">
        <f t="shared" si="3"/>
        <v>14557.466487730451</v>
      </c>
      <c r="H41" s="9">
        <f t="shared" si="4"/>
        <v>810874.98523306521</v>
      </c>
    </row>
    <row r="42" spans="3:8" x14ac:dyDescent="0.3">
      <c r="C42" s="8">
        <v>29</v>
      </c>
      <c r="D42" s="9">
        <f t="shared" si="0"/>
        <v>810874.98523306521</v>
      </c>
      <c r="E42" s="8">
        <f t="shared" si="1"/>
        <v>4865.2499113983922</v>
      </c>
      <c r="F42" s="9">
        <f t="shared" si="2"/>
        <v>9692.216576332059</v>
      </c>
      <c r="G42" s="9">
        <f t="shared" si="3"/>
        <v>14557.466487730451</v>
      </c>
      <c r="H42" s="9">
        <f t="shared" si="4"/>
        <v>801182.7686567331</v>
      </c>
    </row>
    <row r="43" spans="3:8" x14ac:dyDescent="0.3">
      <c r="C43" s="8">
        <v>30</v>
      </c>
      <c r="D43" s="9">
        <f t="shared" si="0"/>
        <v>801182.7686567331</v>
      </c>
      <c r="E43" s="8">
        <f t="shared" si="1"/>
        <v>4807.0966119403993</v>
      </c>
      <c r="F43" s="9">
        <f t="shared" si="2"/>
        <v>9750.3698757900529</v>
      </c>
      <c r="G43" s="9">
        <f t="shared" si="3"/>
        <v>14557.466487730451</v>
      </c>
      <c r="H43" s="9">
        <f t="shared" si="4"/>
        <v>791432.39878094301</v>
      </c>
    </row>
    <row r="44" spans="3:8" x14ac:dyDescent="0.3">
      <c r="C44" s="8">
        <v>31</v>
      </c>
      <c r="D44" s="9">
        <f t="shared" si="0"/>
        <v>791432.39878094301</v>
      </c>
      <c r="E44" s="8">
        <f t="shared" si="1"/>
        <v>4748.5943926856589</v>
      </c>
      <c r="F44" s="9">
        <f t="shared" si="2"/>
        <v>9808.8720950447932</v>
      </c>
      <c r="G44" s="9">
        <f t="shared" si="3"/>
        <v>14557.466487730451</v>
      </c>
      <c r="H44" s="9">
        <f t="shared" si="4"/>
        <v>781623.52668589819</v>
      </c>
    </row>
    <row r="45" spans="3:8" x14ac:dyDescent="0.3">
      <c r="C45" s="8">
        <v>32</v>
      </c>
      <c r="D45" s="9">
        <f t="shared" si="0"/>
        <v>781623.52668589819</v>
      </c>
      <c r="E45" s="8">
        <f t="shared" si="1"/>
        <v>4689.7411601153899</v>
      </c>
      <c r="F45" s="9">
        <f t="shared" si="2"/>
        <v>9867.7253276150623</v>
      </c>
      <c r="G45" s="9">
        <f t="shared" si="3"/>
        <v>14557.466487730451</v>
      </c>
      <c r="H45" s="9">
        <f t="shared" si="4"/>
        <v>771755.80135828315</v>
      </c>
    </row>
    <row r="46" spans="3:8" x14ac:dyDescent="0.3">
      <c r="C46" s="8">
        <v>33</v>
      </c>
      <c r="D46" s="9">
        <f t="shared" si="0"/>
        <v>771755.80135828315</v>
      </c>
      <c r="E46" s="8">
        <f t="shared" si="1"/>
        <v>4630.5348081496995</v>
      </c>
      <c r="F46" s="9">
        <f t="shared" si="2"/>
        <v>9926.9316795807517</v>
      </c>
      <c r="G46" s="9">
        <f t="shared" si="3"/>
        <v>14557.466487730451</v>
      </c>
      <c r="H46" s="9">
        <f t="shared" si="4"/>
        <v>761828.86967870244</v>
      </c>
    </row>
    <row r="47" spans="3:8" x14ac:dyDescent="0.3">
      <c r="C47" s="8">
        <v>34</v>
      </c>
      <c r="D47" s="9">
        <f t="shared" si="0"/>
        <v>761828.86967870244</v>
      </c>
      <c r="E47" s="8">
        <f t="shared" si="1"/>
        <v>4570.9732180722158</v>
      </c>
      <c r="F47" s="9">
        <f t="shared" si="2"/>
        <v>9986.4932696582364</v>
      </c>
      <c r="G47" s="9">
        <f t="shared" si="3"/>
        <v>14557.466487730451</v>
      </c>
      <c r="H47" s="9">
        <f t="shared" si="4"/>
        <v>751842.37640904426</v>
      </c>
    </row>
    <row r="48" spans="3:8" x14ac:dyDescent="0.3">
      <c r="C48" s="8">
        <v>35</v>
      </c>
      <c r="D48" s="9">
        <f t="shared" si="0"/>
        <v>751842.37640904426</v>
      </c>
      <c r="E48" s="8">
        <f t="shared" si="1"/>
        <v>4511.0542584542663</v>
      </c>
      <c r="F48" s="9">
        <f t="shared" si="2"/>
        <v>10046.412229276186</v>
      </c>
      <c r="G48" s="9">
        <f t="shared" si="3"/>
        <v>14557.466487730451</v>
      </c>
      <c r="H48" s="9">
        <f t="shared" si="4"/>
        <v>741795.96417976811</v>
      </c>
    </row>
    <row r="49" spans="3:8" x14ac:dyDescent="0.3">
      <c r="C49" s="8">
        <v>36</v>
      </c>
      <c r="D49" s="9">
        <f t="shared" si="0"/>
        <v>741795.96417976811</v>
      </c>
      <c r="E49" s="8">
        <f t="shared" si="1"/>
        <v>4450.7757850786093</v>
      </c>
      <c r="F49" s="9">
        <f t="shared" si="2"/>
        <v>10106.690702651842</v>
      </c>
      <c r="G49" s="9">
        <f t="shared" si="3"/>
        <v>14557.466487730451</v>
      </c>
      <c r="H49" s="9">
        <f t="shared" si="4"/>
        <v>731689.27347711625</v>
      </c>
    </row>
    <row r="50" spans="3:8" x14ac:dyDescent="0.3">
      <c r="C50" s="8">
        <v>37</v>
      </c>
      <c r="D50" s="9">
        <f t="shared" si="0"/>
        <v>731689.27347711625</v>
      </c>
      <c r="E50" s="8">
        <f t="shared" si="1"/>
        <v>4390.135640862698</v>
      </c>
      <c r="F50" s="9">
        <f t="shared" si="2"/>
        <v>10167.330846867753</v>
      </c>
      <c r="G50" s="9">
        <f t="shared" si="3"/>
        <v>14557.466487730451</v>
      </c>
      <c r="H50" s="9">
        <f t="shared" si="4"/>
        <v>721521.94263024849</v>
      </c>
    </row>
    <row r="51" spans="3:8" x14ac:dyDescent="0.3">
      <c r="C51" s="8">
        <v>38</v>
      </c>
      <c r="D51" s="9">
        <f t="shared" si="0"/>
        <v>721521.94263024849</v>
      </c>
      <c r="E51" s="8">
        <f t="shared" si="1"/>
        <v>4329.1316557814916</v>
      </c>
      <c r="F51" s="9">
        <f t="shared" si="2"/>
        <v>10228.33483194896</v>
      </c>
      <c r="G51" s="9">
        <f t="shared" si="3"/>
        <v>14557.466487730451</v>
      </c>
      <c r="H51" s="9">
        <f t="shared" si="4"/>
        <v>711293.60779829952</v>
      </c>
    </row>
    <row r="52" spans="3:8" x14ac:dyDescent="0.3">
      <c r="C52" s="8">
        <v>39</v>
      </c>
      <c r="D52" s="9">
        <f t="shared" si="0"/>
        <v>711293.60779829952</v>
      </c>
      <c r="E52" s="8">
        <f t="shared" si="1"/>
        <v>4267.7616467897979</v>
      </c>
      <c r="F52" s="9">
        <f t="shared" si="2"/>
        <v>10289.704840940653</v>
      </c>
      <c r="G52" s="9">
        <f t="shared" si="3"/>
        <v>14557.466487730451</v>
      </c>
      <c r="H52" s="9">
        <f t="shared" si="4"/>
        <v>701003.90295735886</v>
      </c>
    </row>
    <row r="53" spans="3:8" x14ac:dyDescent="0.3">
      <c r="C53" s="8">
        <v>40</v>
      </c>
      <c r="D53" s="9">
        <f t="shared" si="0"/>
        <v>701003.90295735886</v>
      </c>
      <c r="E53" s="8">
        <f t="shared" si="1"/>
        <v>4206.0234177441534</v>
      </c>
      <c r="F53" s="9">
        <f t="shared" si="2"/>
        <v>10351.443069986297</v>
      </c>
      <c r="G53" s="9">
        <f t="shared" si="3"/>
        <v>14557.466487730451</v>
      </c>
      <c r="H53" s="9">
        <f t="shared" si="4"/>
        <v>690652.45988737256</v>
      </c>
    </row>
    <row r="54" spans="3:8" x14ac:dyDescent="0.3">
      <c r="C54" s="8">
        <v>41</v>
      </c>
      <c r="D54" s="9">
        <f t="shared" si="0"/>
        <v>690652.45988737256</v>
      </c>
      <c r="E54" s="8">
        <f t="shared" si="1"/>
        <v>4143.914759324236</v>
      </c>
      <c r="F54" s="9">
        <f t="shared" si="2"/>
        <v>10413.551728406215</v>
      </c>
      <c r="G54" s="9">
        <f t="shared" si="3"/>
        <v>14557.466487730451</v>
      </c>
      <c r="H54" s="9">
        <f t="shared" si="4"/>
        <v>680238.90815896634</v>
      </c>
    </row>
    <row r="55" spans="3:8" x14ac:dyDescent="0.3">
      <c r="C55" s="8">
        <v>42</v>
      </c>
      <c r="D55" s="9">
        <f t="shared" si="0"/>
        <v>680238.90815896634</v>
      </c>
      <c r="E55" s="8">
        <f t="shared" si="1"/>
        <v>4081.4334489537987</v>
      </c>
      <c r="F55" s="9">
        <f t="shared" si="2"/>
        <v>10476.033038776652</v>
      </c>
      <c r="G55" s="9">
        <f t="shared" si="3"/>
        <v>14557.466487730451</v>
      </c>
      <c r="H55" s="9">
        <f t="shared" si="4"/>
        <v>669762.87512018974</v>
      </c>
    </row>
    <row r="56" spans="3:8" x14ac:dyDescent="0.3">
      <c r="C56" s="8">
        <v>43</v>
      </c>
      <c r="D56" s="9">
        <f t="shared" si="0"/>
        <v>669762.87512018974</v>
      </c>
      <c r="E56" s="8">
        <f t="shared" si="1"/>
        <v>4018.5772507211391</v>
      </c>
      <c r="F56" s="9">
        <f t="shared" si="2"/>
        <v>10538.889237009313</v>
      </c>
      <c r="G56" s="9">
        <f t="shared" si="3"/>
        <v>14557.466487730451</v>
      </c>
      <c r="H56" s="9">
        <f t="shared" si="4"/>
        <v>659223.9858831804</v>
      </c>
    </row>
    <row r="57" spans="3:8" x14ac:dyDescent="0.3">
      <c r="C57" s="8">
        <v>44</v>
      </c>
      <c r="D57" s="9">
        <f t="shared" si="0"/>
        <v>659223.9858831804</v>
      </c>
      <c r="E57" s="8">
        <f t="shared" si="1"/>
        <v>3955.3439152990832</v>
      </c>
      <c r="F57" s="9">
        <f t="shared" si="2"/>
        <v>10602.122572431368</v>
      </c>
      <c r="G57" s="9">
        <f t="shared" si="3"/>
        <v>14557.466487730451</v>
      </c>
      <c r="H57" s="9">
        <f t="shared" si="4"/>
        <v>648621.86331074906</v>
      </c>
    </row>
    <row r="58" spans="3:8" x14ac:dyDescent="0.3">
      <c r="C58" s="8">
        <v>45</v>
      </c>
      <c r="D58" s="9">
        <f t="shared" si="0"/>
        <v>648621.86331074906</v>
      </c>
      <c r="E58" s="8">
        <f t="shared" si="1"/>
        <v>3891.7311798644951</v>
      </c>
      <c r="F58" s="9">
        <f t="shared" si="2"/>
        <v>10665.735307865956</v>
      </c>
      <c r="G58" s="9">
        <f t="shared" si="3"/>
        <v>14557.466487730451</v>
      </c>
      <c r="H58" s="9">
        <f t="shared" si="4"/>
        <v>637956.12800288305</v>
      </c>
    </row>
    <row r="59" spans="3:8" x14ac:dyDescent="0.3">
      <c r="C59" s="8">
        <v>46</v>
      </c>
      <c r="D59" s="9">
        <f t="shared" si="0"/>
        <v>637956.12800288305</v>
      </c>
      <c r="E59" s="8">
        <f t="shared" si="1"/>
        <v>3827.7367680172988</v>
      </c>
      <c r="F59" s="9">
        <f t="shared" si="2"/>
        <v>10729.729719713152</v>
      </c>
      <c r="G59" s="9">
        <f t="shared" si="3"/>
        <v>14557.466487730451</v>
      </c>
      <c r="H59" s="9">
        <f t="shared" si="4"/>
        <v>627226.39828316995</v>
      </c>
    </row>
    <row r="60" spans="3:8" x14ac:dyDescent="0.3">
      <c r="C60" s="8">
        <v>47</v>
      </c>
      <c r="D60" s="9">
        <f t="shared" si="0"/>
        <v>627226.39828316995</v>
      </c>
      <c r="E60" s="8">
        <f t="shared" si="1"/>
        <v>3763.3583896990203</v>
      </c>
      <c r="F60" s="9">
        <f t="shared" si="2"/>
        <v>10794.108098031431</v>
      </c>
      <c r="G60" s="9">
        <f t="shared" si="3"/>
        <v>14557.466487730451</v>
      </c>
      <c r="H60" s="9">
        <f t="shared" si="4"/>
        <v>616432.29018513847</v>
      </c>
    </row>
    <row r="61" spans="3:8" x14ac:dyDescent="0.3">
      <c r="C61" s="8">
        <v>48</v>
      </c>
      <c r="D61" s="9">
        <f t="shared" si="0"/>
        <v>616432.29018513847</v>
      </c>
      <c r="E61" s="8">
        <f t="shared" si="1"/>
        <v>3698.5937411108316</v>
      </c>
      <c r="F61" s="9">
        <f t="shared" si="2"/>
        <v>10858.87274661962</v>
      </c>
      <c r="G61" s="9">
        <f t="shared" si="3"/>
        <v>14557.466487730451</v>
      </c>
      <c r="H61" s="9">
        <f t="shared" si="4"/>
        <v>605573.41743851884</v>
      </c>
    </row>
    <row r="62" spans="3:8" x14ac:dyDescent="0.3">
      <c r="C62" s="8">
        <v>49</v>
      </c>
      <c r="D62" s="9">
        <f t="shared" si="0"/>
        <v>605573.41743851884</v>
      </c>
      <c r="E62" s="8">
        <f t="shared" si="1"/>
        <v>3633.4405046311135</v>
      </c>
      <c r="F62" s="9">
        <f t="shared" si="2"/>
        <v>10924.025983099338</v>
      </c>
      <c r="G62" s="9">
        <f t="shared" si="3"/>
        <v>14557.466487730451</v>
      </c>
      <c r="H62" s="9">
        <f t="shared" si="4"/>
        <v>594649.39145541948</v>
      </c>
    </row>
    <row r="63" spans="3:8" x14ac:dyDescent="0.3">
      <c r="C63" s="8">
        <v>50</v>
      </c>
      <c r="D63" s="9">
        <f t="shared" si="0"/>
        <v>594649.39145541948</v>
      </c>
      <c r="E63" s="8">
        <f t="shared" si="1"/>
        <v>3567.8963487325173</v>
      </c>
      <c r="F63" s="9">
        <f t="shared" si="2"/>
        <v>10989.570138997933</v>
      </c>
      <c r="G63" s="9">
        <f t="shared" si="3"/>
        <v>14557.466487730451</v>
      </c>
      <c r="H63" s="9">
        <f t="shared" si="4"/>
        <v>583659.8213164215</v>
      </c>
    </row>
    <row r="64" spans="3:8" x14ac:dyDescent="0.3">
      <c r="C64" s="8">
        <v>51</v>
      </c>
      <c r="D64" s="9">
        <f t="shared" si="0"/>
        <v>583659.8213164215</v>
      </c>
      <c r="E64" s="8">
        <f t="shared" si="1"/>
        <v>3501.9589278985295</v>
      </c>
      <c r="F64" s="9">
        <f t="shared" si="2"/>
        <v>11055.507559831922</v>
      </c>
      <c r="G64" s="9">
        <f t="shared" si="3"/>
        <v>14557.466487730451</v>
      </c>
      <c r="H64" s="9">
        <f t="shared" si="4"/>
        <v>572604.31375658954</v>
      </c>
    </row>
    <row r="65" spans="3:8" x14ac:dyDescent="0.3">
      <c r="C65" s="8">
        <v>52</v>
      </c>
      <c r="D65" s="9">
        <f t="shared" si="0"/>
        <v>572604.31375658954</v>
      </c>
      <c r="E65" s="8">
        <f t="shared" si="1"/>
        <v>3435.625882539538</v>
      </c>
      <c r="F65" s="9">
        <f t="shared" si="2"/>
        <v>11121.840605190913</v>
      </c>
      <c r="G65" s="9">
        <f t="shared" si="3"/>
        <v>14557.466487730451</v>
      </c>
      <c r="H65" s="9">
        <f t="shared" si="4"/>
        <v>561482.47315139859</v>
      </c>
    </row>
    <row r="66" spans="3:8" x14ac:dyDescent="0.3">
      <c r="C66" s="8">
        <v>53</v>
      </c>
      <c r="D66" s="9">
        <f t="shared" si="0"/>
        <v>561482.47315139859</v>
      </c>
      <c r="E66" s="8">
        <f t="shared" si="1"/>
        <v>3368.8948389083921</v>
      </c>
      <c r="F66" s="9">
        <f t="shared" si="2"/>
        <v>11188.571648822059</v>
      </c>
      <c r="G66" s="9">
        <f t="shared" si="3"/>
        <v>14557.466487730451</v>
      </c>
      <c r="H66" s="9">
        <f t="shared" si="4"/>
        <v>550293.90150257654</v>
      </c>
    </row>
    <row r="67" spans="3:8" x14ac:dyDescent="0.3">
      <c r="C67" s="8">
        <v>54</v>
      </c>
      <c r="D67" s="9">
        <f t="shared" si="0"/>
        <v>550293.90150257654</v>
      </c>
      <c r="E67" s="8">
        <f t="shared" si="1"/>
        <v>3301.7634090154597</v>
      </c>
      <c r="F67" s="9">
        <f t="shared" si="2"/>
        <v>11255.703078714992</v>
      </c>
      <c r="G67" s="9">
        <f t="shared" si="3"/>
        <v>14557.466487730451</v>
      </c>
      <c r="H67" s="9">
        <f t="shared" si="4"/>
        <v>539038.19842386153</v>
      </c>
    </row>
    <row r="68" spans="3:8" x14ac:dyDescent="0.3">
      <c r="C68" s="8">
        <v>55</v>
      </c>
      <c r="D68" s="9">
        <f t="shared" si="0"/>
        <v>539038.19842386153</v>
      </c>
      <c r="E68" s="8">
        <f t="shared" si="1"/>
        <v>3234.2291905431698</v>
      </c>
      <c r="F68" s="9">
        <f t="shared" si="2"/>
        <v>11323.237297187281</v>
      </c>
      <c r="G68" s="9">
        <f t="shared" si="3"/>
        <v>14557.466487730451</v>
      </c>
      <c r="H68" s="9">
        <f t="shared" si="4"/>
        <v>527714.9611266742</v>
      </c>
    </row>
    <row r="69" spans="3:8" x14ac:dyDescent="0.3">
      <c r="C69" s="8">
        <v>56</v>
      </c>
      <c r="D69" s="9">
        <f t="shared" si="0"/>
        <v>527714.9611266742</v>
      </c>
      <c r="E69" s="8">
        <f t="shared" si="1"/>
        <v>3166.2897667600455</v>
      </c>
      <c r="F69" s="9">
        <f t="shared" si="2"/>
        <v>11391.176720970405</v>
      </c>
      <c r="G69" s="9">
        <f t="shared" si="3"/>
        <v>14557.466487730451</v>
      </c>
      <c r="H69" s="9">
        <f t="shared" si="4"/>
        <v>516323.78440570377</v>
      </c>
    </row>
    <row r="70" spans="3:8" x14ac:dyDescent="0.3">
      <c r="C70" s="8">
        <v>57</v>
      </c>
      <c r="D70" s="9">
        <f t="shared" si="0"/>
        <v>516323.78440570377</v>
      </c>
      <c r="E70" s="8">
        <f t="shared" si="1"/>
        <v>3097.9427064342231</v>
      </c>
      <c r="F70" s="9">
        <f t="shared" si="2"/>
        <v>11459.523781296228</v>
      </c>
      <c r="G70" s="9">
        <f t="shared" si="3"/>
        <v>14557.466487730451</v>
      </c>
      <c r="H70" s="9">
        <f t="shared" si="4"/>
        <v>504864.26062440756</v>
      </c>
    </row>
    <row r="71" spans="3:8" x14ac:dyDescent="0.3">
      <c r="C71" s="8">
        <v>58</v>
      </c>
      <c r="D71" s="9">
        <f t="shared" si="0"/>
        <v>504864.26062440756</v>
      </c>
      <c r="E71" s="8">
        <f t="shared" si="1"/>
        <v>3029.185563746446</v>
      </c>
      <c r="F71" s="9">
        <f t="shared" si="2"/>
        <v>11528.280923984006</v>
      </c>
      <c r="G71" s="9">
        <f t="shared" si="3"/>
        <v>14557.466487730451</v>
      </c>
      <c r="H71" s="9">
        <f t="shared" si="4"/>
        <v>493335.97970042354</v>
      </c>
    </row>
    <row r="72" spans="3:8" x14ac:dyDescent="0.3">
      <c r="C72" s="8">
        <v>59</v>
      </c>
      <c r="D72" s="9">
        <f t="shared" si="0"/>
        <v>493335.97970042354</v>
      </c>
      <c r="E72" s="8">
        <f t="shared" si="1"/>
        <v>2960.0158782025419</v>
      </c>
      <c r="F72" s="9">
        <f t="shared" si="2"/>
        <v>11597.45060952791</v>
      </c>
      <c r="G72" s="9">
        <f t="shared" si="3"/>
        <v>14557.466487730451</v>
      </c>
      <c r="H72" s="9">
        <f t="shared" si="4"/>
        <v>481738.52909089561</v>
      </c>
    </row>
    <row r="73" spans="3:8" x14ac:dyDescent="0.3">
      <c r="C73" s="8">
        <v>60</v>
      </c>
      <c r="D73" s="9">
        <f t="shared" si="0"/>
        <v>481738.52909089561</v>
      </c>
      <c r="E73" s="8">
        <f t="shared" si="1"/>
        <v>2890.4311745453742</v>
      </c>
      <c r="F73" s="9">
        <f t="shared" si="2"/>
        <v>11667.035313185077</v>
      </c>
      <c r="G73" s="9">
        <f t="shared" si="3"/>
        <v>14557.466487730451</v>
      </c>
      <c r="H73" s="9">
        <f t="shared" si="4"/>
        <v>470071.49377771054</v>
      </c>
    </row>
    <row r="74" spans="3:8" x14ac:dyDescent="0.3">
      <c r="C74" s="8">
        <v>61</v>
      </c>
      <c r="D74" s="9">
        <f t="shared" si="0"/>
        <v>470071.49377771054</v>
      </c>
      <c r="E74" s="8">
        <f t="shared" si="1"/>
        <v>2820.4289626662635</v>
      </c>
      <c r="F74" s="9">
        <f t="shared" si="2"/>
        <v>11737.037525064188</v>
      </c>
      <c r="G74" s="9">
        <f t="shared" si="3"/>
        <v>14557.466487730451</v>
      </c>
      <c r="H74" s="9">
        <f t="shared" si="4"/>
        <v>458334.45625264634</v>
      </c>
    </row>
    <row r="75" spans="3:8" x14ac:dyDescent="0.3">
      <c r="C75" s="8">
        <v>62</v>
      </c>
      <c r="D75" s="9">
        <f t="shared" si="0"/>
        <v>458334.45625264634</v>
      </c>
      <c r="E75" s="8">
        <f t="shared" si="1"/>
        <v>2750.0067375158783</v>
      </c>
      <c r="F75" s="9">
        <f t="shared" si="2"/>
        <v>11807.459750214573</v>
      </c>
      <c r="G75" s="9">
        <f t="shared" si="3"/>
        <v>14557.466487730451</v>
      </c>
      <c r="H75" s="9">
        <f t="shared" si="4"/>
        <v>446526.99650243175</v>
      </c>
    </row>
    <row r="76" spans="3:8" x14ac:dyDescent="0.3">
      <c r="C76" s="8">
        <v>63</v>
      </c>
      <c r="D76" s="9">
        <f t="shared" si="0"/>
        <v>446526.99650243175</v>
      </c>
      <c r="E76" s="8">
        <f t="shared" si="1"/>
        <v>2679.161979014591</v>
      </c>
      <c r="F76" s="9">
        <f t="shared" si="2"/>
        <v>11878.304508715861</v>
      </c>
      <c r="G76" s="9">
        <f t="shared" si="3"/>
        <v>14557.466487730451</v>
      </c>
      <c r="H76" s="9">
        <f t="shared" si="4"/>
        <v>434648.69199371588</v>
      </c>
    </row>
    <row r="77" spans="3:8" x14ac:dyDescent="0.3">
      <c r="C77" s="8">
        <v>64</v>
      </c>
      <c r="D77" s="9">
        <f t="shared" si="0"/>
        <v>434648.69199371588</v>
      </c>
      <c r="E77" s="8">
        <f t="shared" si="1"/>
        <v>2607.8921519622959</v>
      </c>
      <c r="F77" s="9">
        <f t="shared" si="2"/>
        <v>11949.574335768155</v>
      </c>
      <c r="G77" s="9">
        <f t="shared" si="3"/>
        <v>14557.466487730451</v>
      </c>
      <c r="H77" s="9">
        <f t="shared" si="4"/>
        <v>422699.1176579477</v>
      </c>
    </row>
    <row r="78" spans="3:8" x14ac:dyDescent="0.3">
      <c r="C78" s="8">
        <v>65</v>
      </c>
      <c r="D78" s="9">
        <f t="shared" si="0"/>
        <v>422699.1176579477</v>
      </c>
      <c r="E78" s="8">
        <f t="shared" si="1"/>
        <v>2536.1947059476865</v>
      </c>
      <c r="F78" s="9">
        <f t="shared" si="2"/>
        <v>12021.271781782765</v>
      </c>
      <c r="G78" s="9">
        <f t="shared" si="3"/>
        <v>14557.466487730451</v>
      </c>
      <c r="H78" s="9">
        <f t="shared" si="4"/>
        <v>410677.84587616497</v>
      </c>
    </row>
    <row r="79" spans="3:8" x14ac:dyDescent="0.3">
      <c r="C79" s="8">
        <v>66</v>
      </c>
      <c r="D79" s="9">
        <f t="shared" si="0"/>
        <v>410677.84587616497</v>
      </c>
      <c r="E79" s="8">
        <f t="shared" si="1"/>
        <v>2464.0670752569904</v>
      </c>
      <c r="F79" s="9">
        <f t="shared" si="2"/>
        <v>12093.39941247346</v>
      </c>
      <c r="G79" s="9">
        <f t="shared" si="3"/>
        <v>14557.466487730451</v>
      </c>
      <c r="H79" s="9">
        <f t="shared" si="4"/>
        <v>398584.44646369154</v>
      </c>
    </row>
    <row r="80" spans="3:8" x14ac:dyDescent="0.3">
      <c r="C80" s="8">
        <v>67</v>
      </c>
      <c r="D80" s="9">
        <f t="shared" ref="D80:D109" si="5">H79</f>
        <v>398584.44646369154</v>
      </c>
      <c r="E80" s="8">
        <f t="shared" ref="E80:E109" si="6">D80*($C$6%/12)</f>
        <v>2391.5066787821497</v>
      </c>
      <c r="F80" s="9">
        <f t="shared" ref="F80:F109" si="7">G80-E80</f>
        <v>12165.959808948301</v>
      </c>
      <c r="G80" s="9">
        <f t="shared" ref="G80:G109" si="8">$C$8</f>
        <v>14557.466487730451</v>
      </c>
      <c r="H80" s="9">
        <f t="shared" ref="H80:H109" si="9">D80-F80</f>
        <v>386418.48665474326</v>
      </c>
    </row>
    <row r="81" spans="3:8" x14ac:dyDescent="0.3">
      <c r="C81" s="8">
        <v>68</v>
      </c>
      <c r="D81" s="9">
        <f t="shared" si="5"/>
        <v>386418.48665474326</v>
      </c>
      <c r="E81" s="8">
        <f t="shared" si="6"/>
        <v>2318.5109199284598</v>
      </c>
      <c r="F81" s="9">
        <f t="shared" si="7"/>
        <v>12238.955567801991</v>
      </c>
      <c r="G81" s="9">
        <f t="shared" si="8"/>
        <v>14557.466487730451</v>
      </c>
      <c r="H81" s="9">
        <f t="shared" si="9"/>
        <v>374179.53108694125</v>
      </c>
    </row>
    <row r="82" spans="3:8" x14ac:dyDescent="0.3">
      <c r="C82" s="8">
        <v>69</v>
      </c>
      <c r="D82" s="9">
        <f t="shared" si="5"/>
        <v>374179.53108694125</v>
      </c>
      <c r="E82" s="8">
        <f t="shared" si="6"/>
        <v>2245.0771865216479</v>
      </c>
      <c r="F82" s="9">
        <f t="shared" si="7"/>
        <v>12312.389301208803</v>
      </c>
      <c r="G82" s="9">
        <f t="shared" si="8"/>
        <v>14557.466487730451</v>
      </c>
      <c r="H82" s="9">
        <f t="shared" si="9"/>
        <v>361867.14178573247</v>
      </c>
    </row>
    <row r="83" spans="3:8" x14ac:dyDescent="0.3">
      <c r="C83" s="8">
        <v>70</v>
      </c>
      <c r="D83" s="9">
        <f t="shared" si="5"/>
        <v>361867.14178573247</v>
      </c>
      <c r="E83" s="8">
        <f t="shared" si="6"/>
        <v>2171.202850714395</v>
      </c>
      <c r="F83" s="9">
        <f t="shared" si="7"/>
        <v>12386.263637016056</v>
      </c>
      <c r="G83" s="9">
        <f t="shared" si="8"/>
        <v>14557.466487730451</v>
      </c>
      <c r="H83" s="9">
        <f t="shared" si="9"/>
        <v>349480.87814871641</v>
      </c>
    </row>
    <row r="84" spans="3:8" x14ac:dyDescent="0.3">
      <c r="C84" s="8">
        <v>71</v>
      </c>
      <c r="D84" s="9">
        <f t="shared" si="5"/>
        <v>349480.87814871641</v>
      </c>
      <c r="E84" s="8">
        <f t="shared" si="6"/>
        <v>2096.8852688922989</v>
      </c>
      <c r="F84" s="9">
        <f t="shared" si="7"/>
        <v>12460.581218838153</v>
      </c>
      <c r="G84" s="9">
        <f t="shared" si="8"/>
        <v>14557.466487730451</v>
      </c>
      <c r="H84" s="9">
        <f t="shared" si="9"/>
        <v>337020.29692987824</v>
      </c>
    </row>
    <row r="85" spans="3:8" x14ac:dyDescent="0.3">
      <c r="C85" s="8">
        <v>72</v>
      </c>
      <c r="D85" s="9">
        <f t="shared" si="5"/>
        <v>337020.29692987824</v>
      </c>
      <c r="E85" s="8">
        <f t="shared" si="6"/>
        <v>2022.1217815792697</v>
      </c>
      <c r="F85" s="9">
        <f t="shared" si="7"/>
        <v>12535.344706151182</v>
      </c>
      <c r="G85" s="9">
        <f t="shared" si="8"/>
        <v>14557.466487730451</v>
      </c>
      <c r="H85" s="9">
        <f t="shared" si="9"/>
        <v>324484.95222372707</v>
      </c>
    </row>
    <row r="86" spans="3:8" x14ac:dyDescent="0.3">
      <c r="C86" s="8">
        <v>73</v>
      </c>
      <c r="D86" s="9">
        <f t="shared" si="5"/>
        <v>324484.95222372707</v>
      </c>
      <c r="E86" s="8">
        <f t="shared" si="6"/>
        <v>1946.9097133423627</v>
      </c>
      <c r="F86" s="9">
        <f t="shared" si="7"/>
        <v>12610.556774388089</v>
      </c>
      <c r="G86" s="9">
        <f t="shared" si="8"/>
        <v>14557.466487730451</v>
      </c>
      <c r="H86" s="9">
        <f t="shared" si="9"/>
        <v>311874.395449339</v>
      </c>
    </row>
    <row r="87" spans="3:8" x14ac:dyDescent="0.3">
      <c r="C87" s="8">
        <v>74</v>
      </c>
      <c r="D87" s="9">
        <f t="shared" si="5"/>
        <v>311874.395449339</v>
      </c>
      <c r="E87" s="8">
        <f t="shared" si="6"/>
        <v>1871.2463726960343</v>
      </c>
      <c r="F87" s="9">
        <f t="shared" si="7"/>
        <v>12686.220115034417</v>
      </c>
      <c r="G87" s="9">
        <f t="shared" si="8"/>
        <v>14557.466487730451</v>
      </c>
      <c r="H87" s="9">
        <f t="shared" si="9"/>
        <v>299188.17533430457</v>
      </c>
    </row>
    <row r="88" spans="3:8" x14ac:dyDescent="0.3">
      <c r="C88" s="8">
        <v>75</v>
      </c>
      <c r="D88" s="9">
        <f t="shared" si="5"/>
        <v>299188.17533430457</v>
      </c>
      <c r="E88" s="8">
        <f t="shared" si="6"/>
        <v>1795.1290520058278</v>
      </c>
      <c r="F88" s="9">
        <f t="shared" si="7"/>
        <v>12762.337435724623</v>
      </c>
      <c r="G88" s="9">
        <f t="shared" si="8"/>
        <v>14557.466487730451</v>
      </c>
      <c r="H88" s="9">
        <f t="shared" si="9"/>
        <v>286425.83789857995</v>
      </c>
    </row>
    <row r="89" spans="3:8" x14ac:dyDescent="0.3">
      <c r="C89" s="8">
        <v>76</v>
      </c>
      <c r="D89" s="9">
        <f t="shared" si="5"/>
        <v>286425.83789857995</v>
      </c>
      <c r="E89" s="8">
        <f t="shared" si="6"/>
        <v>1718.5550273914801</v>
      </c>
      <c r="F89" s="9">
        <f t="shared" si="7"/>
        <v>12838.911460338972</v>
      </c>
      <c r="G89" s="9">
        <f t="shared" si="8"/>
        <v>14557.466487730451</v>
      </c>
      <c r="H89" s="9">
        <f t="shared" si="9"/>
        <v>273586.92643824097</v>
      </c>
    </row>
    <row r="90" spans="3:8" x14ac:dyDescent="0.3">
      <c r="C90" s="8">
        <v>77</v>
      </c>
      <c r="D90" s="9">
        <f t="shared" si="5"/>
        <v>273586.92643824097</v>
      </c>
      <c r="E90" s="8">
        <f t="shared" si="6"/>
        <v>1641.5215586294462</v>
      </c>
      <c r="F90" s="9">
        <f t="shared" si="7"/>
        <v>12915.944929101006</v>
      </c>
      <c r="G90" s="9">
        <f t="shared" si="8"/>
        <v>14557.466487730451</v>
      </c>
      <c r="H90" s="9">
        <f t="shared" si="9"/>
        <v>260670.98150913997</v>
      </c>
    </row>
    <row r="91" spans="3:8" x14ac:dyDescent="0.3">
      <c r="C91" s="8">
        <v>78</v>
      </c>
      <c r="D91" s="9">
        <f t="shared" si="5"/>
        <v>260670.98150913997</v>
      </c>
      <c r="E91" s="8">
        <f t="shared" si="6"/>
        <v>1564.02588905484</v>
      </c>
      <c r="F91" s="9">
        <f t="shared" si="7"/>
        <v>12993.440598675612</v>
      </c>
      <c r="G91" s="9">
        <f t="shared" si="8"/>
        <v>14557.466487730451</v>
      </c>
      <c r="H91" s="9">
        <f t="shared" si="9"/>
        <v>247677.54091046436</v>
      </c>
    </row>
    <row r="92" spans="3:8" x14ac:dyDescent="0.3">
      <c r="C92" s="8">
        <v>79</v>
      </c>
      <c r="D92" s="9">
        <f t="shared" si="5"/>
        <v>247677.54091046436</v>
      </c>
      <c r="E92" s="8">
        <f t="shared" si="6"/>
        <v>1486.0652454627864</v>
      </c>
      <c r="F92" s="9">
        <f t="shared" si="7"/>
        <v>13071.401242267664</v>
      </c>
      <c r="G92" s="9">
        <f t="shared" si="8"/>
        <v>14557.466487730451</v>
      </c>
      <c r="H92" s="9">
        <f t="shared" si="9"/>
        <v>234606.1396681967</v>
      </c>
    </row>
    <row r="93" spans="3:8" x14ac:dyDescent="0.3">
      <c r="C93" s="8">
        <v>80</v>
      </c>
      <c r="D93" s="9">
        <f t="shared" si="5"/>
        <v>234606.1396681967</v>
      </c>
      <c r="E93" s="8">
        <f t="shared" si="6"/>
        <v>1407.6368380091803</v>
      </c>
      <c r="F93" s="9">
        <f t="shared" si="7"/>
        <v>13149.82964972127</v>
      </c>
      <c r="G93" s="9">
        <f t="shared" si="8"/>
        <v>14557.466487730451</v>
      </c>
      <c r="H93" s="9">
        <f t="shared" si="9"/>
        <v>221456.31001847543</v>
      </c>
    </row>
    <row r="94" spans="3:8" x14ac:dyDescent="0.3">
      <c r="C94" s="8">
        <v>81</v>
      </c>
      <c r="D94" s="9">
        <f t="shared" si="5"/>
        <v>221456.31001847543</v>
      </c>
      <c r="E94" s="8">
        <f t="shared" si="6"/>
        <v>1328.7378601108528</v>
      </c>
      <c r="F94" s="9">
        <f t="shared" si="7"/>
        <v>13228.728627619599</v>
      </c>
      <c r="G94" s="9">
        <f t="shared" si="8"/>
        <v>14557.466487730451</v>
      </c>
      <c r="H94" s="9">
        <f t="shared" si="9"/>
        <v>208227.58139085583</v>
      </c>
    </row>
    <row r="95" spans="3:8" x14ac:dyDescent="0.3">
      <c r="C95" s="8">
        <v>82</v>
      </c>
      <c r="D95" s="9">
        <f t="shared" si="5"/>
        <v>208227.58139085583</v>
      </c>
      <c r="E95" s="8">
        <f t="shared" si="6"/>
        <v>1249.3654883451352</v>
      </c>
      <c r="F95" s="9">
        <f t="shared" si="7"/>
        <v>13308.100999385317</v>
      </c>
      <c r="G95" s="9">
        <f t="shared" si="8"/>
        <v>14557.466487730451</v>
      </c>
      <c r="H95" s="9">
        <f t="shared" si="9"/>
        <v>194919.48039147051</v>
      </c>
    </row>
    <row r="96" spans="3:8" x14ac:dyDescent="0.3">
      <c r="C96" s="8">
        <v>83</v>
      </c>
      <c r="D96" s="9">
        <f t="shared" si="5"/>
        <v>194919.48039147051</v>
      </c>
      <c r="E96" s="8">
        <f t="shared" si="6"/>
        <v>1169.5168823488232</v>
      </c>
      <c r="F96" s="9">
        <f t="shared" si="7"/>
        <v>13387.949605381627</v>
      </c>
      <c r="G96" s="9">
        <f t="shared" si="8"/>
        <v>14557.466487730451</v>
      </c>
      <c r="H96" s="9">
        <f t="shared" si="9"/>
        <v>181531.53078608887</v>
      </c>
    </row>
    <row r="97" spans="3:8" x14ac:dyDescent="0.3">
      <c r="C97" s="8">
        <v>84</v>
      </c>
      <c r="D97" s="9">
        <f t="shared" si="5"/>
        <v>181531.53078608887</v>
      </c>
      <c r="E97" s="8">
        <f t="shared" si="6"/>
        <v>1089.1891847165334</v>
      </c>
      <c r="F97" s="9">
        <f t="shared" si="7"/>
        <v>13468.277303013918</v>
      </c>
      <c r="G97" s="9">
        <f t="shared" si="8"/>
        <v>14557.466487730451</v>
      </c>
      <c r="H97" s="9">
        <f t="shared" si="9"/>
        <v>168063.25348307495</v>
      </c>
    </row>
    <row r="98" spans="3:8" x14ac:dyDescent="0.3">
      <c r="C98" s="8">
        <v>85</v>
      </c>
      <c r="D98" s="9">
        <f t="shared" si="5"/>
        <v>168063.25348307495</v>
      </c>
      <c r="E98" s="8">
        <f t="shared" si="6"/>
        <v>1008.3795208984499</v>
      </c>
      <c r="F98" s="9">
        <f t="shared" si="7"/>
        <v>13549.086966832001</v>
      </c>
      <c r="G98" s="9">
        <f t="shared" si="8"/>
        <v>14557.466487730451</v>
      </c>
      <c r="H98" s="9">
        <f t="shared" si="9"/>
        <v>154514.16651624296</v>
      </c>
    </row>
    <row r="99" spans="3:8" x14ac:dyDescent="0.3">
      <c r="C99" s="8">
        <v>86</v>
      </c>
      <c r="D99" s="9">
        <f t="shared" si="5"/>
        <v>154514.16651624296</v>
      </c>
      <c r="E99" s="8">
        <f t="shared" si="6"/>
        <v>927.08499909745785</v>
      </c>
      <c r="F99" s="9">
        <f t="shared" si="7"/>
        <v>13630.381488632993</v>
      </c>
      <c r="G99" s="9">
        <f t="shared" si="8"/>
        <v>14557.466487730451</v>
      </c>
      <c r="H99" s="9">
        <f t="shared" si="9"/>
        <v>140883.78502760996</v>
      </c>
    </row>
    <row r="100" spans="3:8" x14ac:dyDescent="0.3">
      <c r="C100" s="8">
        <v>87</v>
      </c>
      <c r="D100" s="9">
        <f t="shared" si="5"/>
        <v>140883.78502760996</v>
      </c>
      <c r="E100" s="8">
        <f t="shared" si="6"/>
        <v>845.30271016565996</v>
      </c>
      <c r="F100" s="9">
        <f t="shared" si="7"/>
        <v>13712.163777564791</v>
      </c>
      <c r="G100" s="9">
        <f t="shared" si="8"/>
        <v>14557.466487730451</v>
      </c>
      <c r="H100" s="9">
        <f t="shared" si="9"/>
        <v>127171.62125004517</v>
      </c>
    </row>
    <row r="101" spans="3:8" x14ac:dyDescent="0.3">
      <c r="C101" s="8">
        <v>88</v>
      </c>
      <c r="D101" s="9">
        <f t="shared" si="5"/>
        <v>127171.62125004517</v>
      </c>
      <c r="E101" s="8">
        <f t="shared" si="6"/>
        <v>763.02972750027106</v>
      </c>
      <c r="F101" s="9">
        <f t="shared" si="7"/>
        <v>13794.436760230181</v>
      </c>
      <c r="G101" s="9">
        <f t="shared" si="8"/>
        <v>14557.466487730451</v>
      </c>
      <c r="H101" s="9">
        <f t="shared" si="9"/>
        <v>113377.18448981499</v>
      </c>
    </row>
    <row r="102" spans="3:8" x14ac:dyDescent="0.3">
      <c r="C102" s="8">
        <v>89</v>
      </c>
      <c r="D102" s="9">
        <f t="shared" si="5"/>
        <v>113377.18448981499</v>
      </c>
      <c r="E102" s="8">
        <f t="shared" si="6"/>
        <v>680.26310693889002</v>
      </c>
      <c r="F102" s="9">
        <f t="shared" si="7"/>
        <v>13877.203380791561</v>
      </c>
      <c r="G102" s="9">
        <f t="shared" si="8"/>
        <v>14557.466487730451</v>
      </c>
      <c r="H102" s="9">
        <f t="shared" si="9"/>
        <v>99499.981109023429</v>
      </c>
    </row>
    <row r="103" spans="3:8" x14ac:dyDescent="0.3">
      <c r="C103" s="8">
        <v>90</v>
      </c>
      <c r="D103" s="9">
        <f t="shared" si="5"/>
        <v>99499.981109023429</v>
      </c>
      <c r="E103" s="8">
        <f t="shared" si="6"/>
        <v>596.99988665414071</v>
      </c>
      <c r="F103" s="9">
        <f t="shared" si="7"/>
        <v>13960.46660107631</v>
      </c>
      <c r="G103" s="9">
        <f t="shared" si="8"/>
        <v>14557.466487730451</v>
      </c>
      <c r="H103" s="9">
        <f t="shared" si="9"/>
        <v>85539.514507947111</v>
      </c>
    </row>
    <row r="104" spans="3:8" x14ac:dyDescent="0.3">
      <c r="C104" s="8">
        <v>91</v>
      </c>
      <c r="D104" s="9">
        <f t="shared" si="5"/>
        <v>85539.514507947111</v>
      </c>
      <c r="E104" s="8">
        <f t="shared" si="6"/>
        <v>513.23708704768273</v>
      </c>
      <c r="F104" s="9">
        <f t="shared" si="7"/>
        <v>14044.229400682769</v>
      </c>
      <c r="G104" s="9">
        <f t="shared" si="8"/>
        <v>14557.466487730451</v>
      </c>
      <c r="H104" s="9">
        <f t="shared" si="9"/>
        <v>71495.285107264339</v>
      </c>
    </row>
    <row r="105" spans="3:8" x14ac:dyDescent="0.3">
      <c r="C105" s="8">
        <v>92</v>
      </c>
      <c r="D105" s="9">
        <f t="shared" si="5"/>
        <v>71495.285107264339</v>
      </c>
      <c r="E105" s="8">
        <f t="shared" si="6"/>
        <v>428.97171064358611</v>
      </c>
      <c r="F105" s="9">
        <f t="shared" si="7"/>
        <v>14128.494777086866</v>
      </c>
      <c r="G105" s="9">
        <f t="shared" si="8"/>
        <v>14557.466487730451</v>
      </c>
      <c r="H105" s="9">
        <f t="shared" si="9"/>
        <v>57366.790330177471</v>
      </c>
    </row>
    <row r="106" spans="3:8" x14ac:dyDescent="0.3">
      <c r="C106" s="8">
        <v>93</v>
      </c>
      <c r="D106" s="9">
        <f t="shared" si="5"/>
        <v>57366.790330177471</v>
      </c>
      <c r="E106" s="8">
        <f t="shared" si="6"/>
        <v>344.20074198106488</v>
      </c>
      <c r="F106" s="9">
        <f t="shared" si="7"/>
        <v>14213.265745749386</v>
      </c>
      <c r="G106" s="9">
        <f t="shared" si="8"/>
        <v>14557.466487730451</v>
      </c>
      <c r="H106" s="9">
        <f t="shared" si="9"/>
        <v>43153.524584428087</v>
      </c>
    </row>
    <row r="107" spans="3:8" x14ac:dyDescent="0.3">
      <c r="C107" s="8">
        <v>94</v>
      </c>
      <c r="D107" s="9">
        <f t="shared" si="5"/>
        <v>43153.524584428087</v>
      </c>
      <c r="E107" s="8">
        <f t="shared" si="6"/>
        <v>258.92114750656856</v>
      </c>
      <c r="F107" s="9">
        <f t="shared" si="7"/>
        <v>14298.545340223882</v>
      </c>
      <c r="G107" s="9">
        <f t="shared" si="8"/>
        <v>14557.466487730451</v>
      </c>
      <c r="H107" s="9">
        <f t="shared" si="9"/>
        <v>28854.979244204205</v>
      </c>
    </row>
    <row r="108" spans="3:8" x14ac:dyDescent="0.3">
      <c r="C108" s="8">
        <v>95</v>
      </c>
      <c r="D108" s="9">
        <f t="shared" si="5"/>
        <v>28854.979244204205</v>
      </c>
      <c r="E108" s="8">
        <f t="shared" si="6"/>
        <v>173.12987546522527</v>
      </c>
      <c r="F108" s="9">
        <f t="shared" si="7"/>
        <v>14384.336612265226</v>
      </c>
      <c r="G108" s="9">
        <f t="shared" si="8"/>
        <v>14557.466487730451</v>
      </c>
      <c r="H108" s="9">
        <f t="shared" si="9"/>
        <v>14470.642631938979</v>
      </c>
    </row>
    <row r="109" spans="3:8" x14ac:dyDescent="0.3">
      <c r="C109" s="8">
        <v>96</v>
      </c>
      <c r="D109" s="9">
        <f t="shared" si="5"/>
        <v>14470.642631938979</v>
      </c>
      <c r="E109" s="8">
        <f t="shared" si="6"/>
        <v>86.823855791633889</v>
      </c>
      <c r="F109" s="9">
        <f t="shared" si="7"/>
        <v>14470.642631938817</v>
      </c>
      <c r="G109" s="9">
        <f t="shared" si="8"/>
        <v>14557.466487730451</v>
      </c>
      <c r="H109" s="9">
        <f t="shared" si="9"/>
        <v>1.6189005691558123E-10</v>
      </c>
    </row>
  </sheetData>
  <hyperlinks>
    <hyperlink ref="A1" location="Sheet1!A1" display="Back A1" xr:uid="{D0011F84-EF0F-41D0-95C8-DA06BFB85709}"/>
  </hyperlink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Sumiran Chettri</dc:creator>
  <cp:lastModifiedBy>Sumiran Gurung</cp:lastModifiedBy>
  <dcterms:created xsi:type="dcterms:W3CDTF">2025-12-09T00:22:36Z</dcterms:created>
  <dcterms:modified xsi:type="dcterms:W3CDTF">2026-01-17T08:49:35Z</dcterms:modified>
</cp:coreProperties>
</file>