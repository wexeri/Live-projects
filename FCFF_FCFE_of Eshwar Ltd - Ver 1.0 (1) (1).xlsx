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 1\MBA -2nd - Sem\MBA-Financial Modelling\"/>
    </mc:Choice>
  </mc:AlternateContent>
  <xr:revisionPtr revIDLastSave="0" documentId="13_ncr:1_{4590A6DA-BD81-4A92-B250-AE2BC1A119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 " sheetId="1" r:id="rId1"/>
    <sheet name="Sheet2" sheetId="4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5" l="1"/>
  <c r="N15" i="5"/>
  <c r="N18" i="5"/>
  <c r="J18" i="5"/>
  <c r="N17" i="5"/>
  <c r="J17" i="5"/>
  <c r="T8" i="5"/>
  <c r="T9" i="5"/>
  <c r="T10" i="5"/>
  <c r="T11" i="5"/>
  <c r="T12" i="5"/>
  <c r="J15" i="5"/>
  <c r="O8" i="5"/>
  <c r="P8" i="5"/>
  <c r="Q8" i="5"/>
  <c r="R8" i="5"/>
  <c r="S8" i="5"/>
  <c r="O9" i="5"/>
  <c r="P9" i="5"/>
  <c r="Q9" i="5"/>
  <c r="R9" i="5"/>
  <c r="S9" i="5"/>
  <c r="O10" i="5"/>
  <c r="P10" i="5"/>
  <c r="Q10" i="5" s="1"/>
  <c r="R10" i="5" s="1"/>
  <c r="S10" i="5" s="1"/>
  <c r="O11" i="5"/>
  <c r="P11" i="5"/>
  <c r="Q11" i="5"/>
  <c r="R11" i="5"/>
  <c r="S11" i="5"/>
  <c r="O12" i="5"/>
  <c r="O14" i="5" s="1"/>
  <c r="P12" i="5"/>
  <c r="P14" i="5" s="1"/>
  <c r="Q12" i="5"/>
  <c r="Q14" i="5" s="1"/>
  <c r="R12" i="5"/>
  <c r="S12" i="5" s="1"/>
  <c r="S14" i="5" s="1"/>
  <c r="O13" i="5"/>
  <c r="P13" i="5"/>
  <c r="Q13" i="5"/>
  <c r="R13" i="5"/>
  <c r="S13" i="5"/>
  <c r="F14" i="5"/>
  <c r="E14" i="5"/>
  <c r="N13" i="5"/>
  <c r="M13" i="5"/>
  <c r="L13" i="5"/>
  <c r="K13" i="5"/>
  <c r="J13" i="5"/>
  <c r="I13" i="5"/>
  <c r="H13" i="5"/>
  <c r="G13" i="5"/>
  <c r="F13" i="5"/>
  <c r="E13" i="5"/>
  <c r="F12" i="5"/>
  <c r="G12" i="5" s="1"/>
  <c r="F11" i="5"/>
  <c r="G11" i="5" s="1"/>
  <c r="H11" i="5" s="1"/>
  <c r="I11" i="5" s="1"/>
  <c r="J11" i="5" s="1"/>
  <c r="K11" i="5" s="1"/>
  <c r="L11" i="5" s="1"/>
  <c r="M11" i="5" s="1"/>
  <c r="N11" i="5" s="1"/>
  <c r="F10" i="5"/>
  <c r="G10" i="5" s="1"/>
  <c r="H10" i="5" s="1"/>
  <c r="I10" i="5" s="1"/>
  <c r="J10" i="5" s="1"/>
  <c r="K10" i="5" s="1"/>
  <c r="L10" i="5" s="1"/>
  <c r="M10" i="5" s="1"/>
  <c r="N10" i="5" s="1"/>
  <c r="F9" i="5"/>
  <c r="G9" i="5" s="1"/>
  <c r="H9" i="5" s="1"/>
  <c r="I9" i="5" s="1"/>
  <c r="J9" i="5" s="1"/>
  <c r="K9" i="5" s="1"/>
  <c r="L9" i="5" s="1"/>
  <c r="M9" i="5" s="1"/>
  <c r="N9" i="5" s="1"/>
  <c r="F8" i="5"/>
  <c r="G8" i="5" s="1"/>
  <c r="H8" i="5" s="1"/>
  <c r="I8" i="5" s="1"/>
  <c r="J8" i="5" s="1"/>
  <c r="K8" i="5" s="1"/>
  <c r="L8" i="5" s="1"/>
  <c r="M8" i="5" s="1"/>
  <c r="N8" i="5" s="1"/>
  <c r="J18" i="4"/>
  <c r="J17" i="4"/>
  <c r="O14" i="4"/>
  <c r="O13" i="4"/>
  <c r="O12" i="4"/>
  <c r="O11" i="4"/>
  <c r="O10" i="4"/>
  <c r="F8" i="4"/>
  <c r="O9" i="4"/>
  <c r="O8" i="4"/>
  <c r="J16" i="4"/>
  <c r="J15" i="4"/>
  <c r="N14" i="4"/>
  <c r="M13" i="4"/>
  <c r="L13" i="4"/>
  <c r="N13" i="4"/>
  <c r="J13" i="4"/>
  <c r="F13" i="4"/>
  <c r="E13" i="4"/>
  <c r="E14" i="4" s="1"/>
  <c r="I78" i="1"/>
  <c r="K78" i="1"/>
  <c r="K8" i="4"/>
  <c r="K13" i="4"/>
  <c r="I13" i="4"/>
  <c r="H13" i="4"/>
  <c r="G13" i="4"/>
  <c r="F12" i="4"/>
  <c r="F14" i="4" s="1"/>
  <c r="F11" i="4"/>
  <c r="G11" i="4" s="1"/>
  <c r="H11" i="4" s="1"/>
  <c r="I11" i="4" s="1"/>
  <c r="J11" i="4" s="1"/>
  <c r="K11" i="4" s="1"/>
  <c r="L11" i="4" s="1"/>
  <c r="M11" i="4" s="1"/>
  <c r="N11" i="4" s="1"/>
  <c r="F10" i="4"/>
  <c r="G10" i="4" s="1"/>
  <c r="H10" i="4" s="1"/>
  <c r="I10" i="4" s="1"/>
  <c r="J10" i="4" s="1"/>
  <c r="K10" i="4" s="1"/>
  <c r="L10" i="4" s="1"/>
  <c r="M10" i="4" s="1"/>
  <c r="N10" i="4" s="1"/>
  <c r="F9" i="4"/>
  <c r="G9" i="4" s="1"/>
  <c r="H9" i="4" s="1"/>
  <c r="I9" i="4" s="1"/>
  <c r="J9" i="4" s="1"/>
  <c r="K9" i="4" s="1"/>
  <c r="L9" i="4" s="1"/>
  <c r="M9" i="4" s="1"/>
  <c r="N9" i="4" s="1"/>
  <c r="G8" i="4"/>
  <c r="H8" i="4" s="1"/>
  <c r="I8" i="4" s="1"/>
  <c r="J8" i="4" s="1"/>
  <c r="O78" i="1"/>
  <c r="Q78" i="1"/>
  <c r="M78" i="1"/>
  <c r="B75" i="1"/>
  <c r="Q72" i="1"/>
  <c r="M72" i="1"/>
  <c r="K76" i="1"/>
  <c r="K75" i="1"/>
  <c r="K73" i="1"/>
  <c r="K72" i="1"/>
  <c r="I72" i="1"/>
  <c r="B71" i="1"/>
  <c r="C71" i="1"/>
  <c r="B70" i="1"/>
  <c r="I73" i="1"/>
  <c r="B67" i="1"/>
  <c r="N16" i="5" l="1"/>
  <c r="R14" i="5"/>
  <c r="H12" i="5"/>
  <c r="G14" i="5"/>
  <c r="L8" i="4"/>
  <c r="M8" i="4" s="1"/>
  <c r="N8" i="4" s="1"/>
  <c r="G12" i="4"/>
  <c r="B10" i="1"/>
  <c r="C10" i="1"/>
  <c r="D10" i="1"/>
  <c r="E10" i="1"/>
  <c r="E15" i="1" s="1"/>
  <c r="F10" i="1"/>
  <c r="F15" i="1" s="1"/>
  <c r="B15" i="1"/>
  <c r="C15" i="1"/>
  <c r="D15" i="1"/>
  <c r="L32" i="1"/>
  <c r="D33" i="1"/>
  <c r="D73" i="1" s="1"/>
  <c r="E33" i="1"/>
  <c r="E73" i="1" s="1"/>
  <c r="F33" i="1"/>
  <c r="F73" i="1" s="1"/>
  <c r="B68" i="1"/>
  <c r="C68" i="1"/>
  <c r="D68" i="1"/>
  <c r="E68" i="1"/>
  <c r="F68" i="1"/>
  <c r="A70" i="1"/>
  <c r="B72" i="1"/>
  <c r="C72" i="1"/>
  <c r="D72" i="1"/>
  <c r="E72" i="1"/>
  <c r="F72" i="1"/>
  <c r="B73" i="1"/>
  <c r="C73" i="1"/>
  <c r="A77" i="1"/>
  <c r="B77" i="1"/>
  <c r="B78" i="1" s="1"/>
  <c r="C77" i="1"/>
  <c r="C78" i="1" s="1"/>
  <c r="D77" i="1"/>
  <c r="D78" i="1" s="1"/>
  <c r="E77" i="1"/>
  <c r="E78" i="1" s="1"/>
  <c r="F77" i="1"/>
  <c r="F78" i="1" s="1"/>
  <c r="B80" i="1"/>
  <c r="C80" i="1"/>
  <c r="D80" i="1"/>
  <c r="E80" i="1"/>
  <c r="F80" i="1"/>
  <c r="I12" i="5" l="1"/>
  <c r="H14" i="5"/>
  <c r="G14" i="4"/>
  <c r="H12" i="4"/>
  <c r="D18" i="1"/>
  <c r="D55" i="1"/>
  <c r="D56" i="1"/>
  <c r="D64" i="1" s="1"/>
  <c r="D62" i="1" s="1"/>
  <c r="C18" i="1"/>
  <c r="C55" i="1"/>
  <c r="C56" i="1"/>
  <c r="C64" i="1" s="1"/>
  <c r="C62" i="1" s="1"/>
  <c r="F18" i="1"/>
  <c r="F55" i="1"/>
  <c r="F56" i="1"/>
  <c r="F64" i="1" s="1"/>
  <c r="F62" i="1" s="1"/>
  <c r="E18" i="1"/>
  <c r="E55" i="1"/>
  <c r="E56" i="1"/>
  <c r="E64" i="1" s="1"/>
  <c r="E62" i="1" s="1"/>
  <c r="B18" i="1"/>
  <c r="B56" i="1"/>
  <c r="B64" i="1" s="1"/>
  <c r="B62" i="1" s="1"/>
  <c r="B55" i="1"/>
  <c r="B20" i="1"/>
  <c r="D20" i="1"/>
  <c r="D70" i="1" s="1"/>
  <c r="C20" i="1"/>
  <c r="C70" i="1" s="1"/>
  <c r="C21" i="1"/>
  <c r="F20" i="1"/>
  <c r="F70" i="1" s="1"/>
  <c r="F21" i="1"/>
  <c r="E20" i="1"/>
  <c r="E70" i="1" s="1"/>
  <c r="E21" i="1"/>
  <c r="E15" i="5" l="1"/>
  <c r="I14" i="5"/>
  <c r="J12" i="5"/>
  <c r="I12" i="4"/>
  <c r="J12" i="4" s="1"/>
  <c r="H14" i="4"/>
  <c r="E29" i="1"/>
  <c r="E35" i="1" s="1"/>
  <c r="F29" i="1"/>
  <c r="F35" i="1" s="1"/>
  <c r="C29" i="1"/>
  <c r="C35" i="1" s="1"/>
  <c r="D21" i="1"/>
  <c r="B21" i="1"/>
  <c r="F17" i="5" l="1"/>
  <c r="F18" i="5" s="1"/>
  <c r="J14" i="5"/>
  <c r="K12" i="5"/>
  <c r="K12" i="4"/>
  <c r="F17" i="4"/>
  <c r="F18" i="4" s="1"/>
  <c r="I14" i="4"/>
  <c r="E15" i="4" s="1"/>
  <c r="B29" i="1"/>
  <c r="B35" i="1" s="1"/>
  <c r="B58" i="1" s="1"/>
  <c r="B60" i="1" s="1"/>
  <c r="D29" i="1"/>
  <c r="D35" i="1" s="1"/>
  <c r="C67" i="1"/>
  <c r="C69" i="1" s="1"/>
  <c r="C75" i="1" s="1"/>
  <c r="C82" i="1" s="1"/>
  <c r="C50" i="1"/>
  <c r="C58" i="1"/>
  <c r="C60" i="1" s="1"/>
  <c r="F58" i="1"/>
  <c r="F60" i="1" s="1"/>
  <c r="F50" i="1"/>
  <c r="F67" i="1"/>
  <c r="F69" i="1" s="1"/>
  <c r="F71" i="1" s="1"/>
  <c r="F75" i="1" s="1"/>
  <c r="F82" i="1" s="1"/>
  <c r="E58" i="1"/>
  <c r="E60" i="1" s="1"/>
  <c r="E50" i="1"/>
  <c r="E67" i="1"/>
  <c r="E69" i="1" s="1"/>
  <c r="E71" i="1" s="1"/>
  <c r="E75" i="1" s="1"/>
  <c r="E82" i="1" s="1"/>
  <c r="K14" i="5" l="1"/>
  <c r="L12" i="5"/>
  <c r="F16" i="4"/>
  <c r="J14" i="4"/>
  <c r="D50" i="1"/>
  <c r="D58" i="1"/>
  <c r="D60" i="1" s="1"/>
  <c r="D67" i="1"/>
  <c r="D69" i="1" s="1"/>
  <c r="D71" i="1" s="1"/>
  <c r="D75" i="1" s="1"/>
  <c r="D82" i="1" s="1"/>
  <c r="B69" i="1"/>
  <c r="B50" i="1"/>
  <c r="L14" i="5" l="1"/>
  <c r="M12" i="5"/>
  <c r="L12" i="4"/>
  <c r="K14" i="4"/>
  <c r="B82" i="1"/>
  <c r="N12" i="5" l="1"/>
  <c r="M14" i="5"/>
  <c r="M12" i="4"/>
  <c r="M14" i="4" s="1"/>
  <c r="L14" i="4"/>
  <c r="N14" i="5" l="1"/>
  <c r="N12" i="4"/>
  <c r="J16" i="5" l="1"/>
</calcChain>
</file>

<file path=xl/sharedStrings.xml><?xml version="1.0" encoding="utf-8"?>
<sst xmlns="http://schemas.openxmlformats.org/spreadsheetml/2006/main" count="128" uniqueCount="75">
  <si>
    <t>Free cash flow to Equity (FCFE)</t>
  </si>
  <si>
    <t>DEBT Issuance/(Repayment)</t>
  </si>
  <si>
    <t>Interest (i-tax)</t>
  </si>
  <si>
    <t>Free cash flow to firm (FCFF)</t>
  </si>
  <si>
    <t>capex</t>
  </si>
  <si>
    <t>Changes in NWC</t>
  </si>
  <si>
    <t>Depreciation</t>
  </si>
  <si>
    <t>EBIT(1-TAX)</t>
  </si>
  <si>
    <t>EBIT</t>
  </si>
  <si>
    <t>EBITDA</t>
  </si>
  <si>
    <t>2015</t>
  </si>
  <si>
    <t>2016</t>
  </si>
  <si>
    <t>2017</t>
  </si>
  <si>
    <t>2018</t>
  </si>
  <si>
    <t>2019</t>
  </si>
  <si>
    <t>FREE CASH FLOW FF</t>
  </si>
  <si>
    <t>FREE CASH FLOW FE</t>
  </si>
  <si>
    <t>FREE CASH FLOW (CF-capex)</t>
  </si>
  <si>
    <t>CASH FLOW (CF) from Operations</t>
  </si>
  <si>
    <t>Net change in cash</t>
  </si>
  <si>
    <t>Cash from Financing</t>
  </si>
  <si>
    <t>Dividends</t>
  </si>
  <si>
    <t>Issuance(Repayment) of Equity</t>
  </si>
  <si>
    <t>Issuance(Repayment) of Debt</t>
  </si>
  <si>
    <t>Cash from Investing</t>
  </si>
  <si>
    <t>Newq business Acqn.</t>
  </si>
  <si>
    <t>Purchase of PP&amp;E</t>
  </si>
  <si>
    <t>Cash from operations</t>
  </si>
  <si>
    <t>Net change in WC</t>
  </si>
  <si>
    <t>Adj. for</t>
  </si>
  <si>
    <t>Net income</t>
  </si>
  <si>
    <t>Cash from Operations</t>
  </si>
  <si>
    <t>EAT/PAT/NI</t>
  </si>
  <si>
    <t>Tax@20%</t>
  </si>
  <si>
    <t>EBT</t>
  </si>
  <si>
    <t>Interest</t>
  </si>
  <si>
    <t>EBIT (Operating Income)</t>
  </si>
  <si>
    <t>Gross Profit</t>
  </si>
  <si>
    <t>COGS</t>
  </si>
  <si>
    <t>Revenue</t>
  </si>
  <si>
    <t>Items</t>
  </si>
  <si>
    <t>Income statement of Eshwar Ltd</t>
  </si>
  <si>
    <t>FREE CASH FLOW TO THE FIRM (FCFF) and FCFE</t>
  </si>
  <si>
    <t>Free cash flow measures the portion of cash that is available for use. This is calculated after deducting all the necessary expenses to sustain the business(e.g.intrest, tax, rent, salaries).</t>
  </si>
  <si>
    <t xml:space="preserve">Selling and administartion </t>
  </si>
  <si>
    <t xml:space="preserve">Finance can do thems self </t>
  </si>
  <si>
    <t>20152</t>
  </si>
  <si>
    <t>we have to ask to selling dep and Hr about how much will grow</t>
  </si>
  <si>
    <t>we have to ask marketing team that how much growth Is expected.</t>
  </si>
  <si>
    <t>NI</t>
  </si>
  <si>
    <t>D&amp;A</t>
  </si>
  <si>
    <t>INT(1-t)</t>
  </si>
  <si>
    <t>CAPEX</t>
  </si>
  <si>
    <t>WC CHANGES</t>
  </si>
  <si>
    <t>FCFF</t>
  </si>
  <si>
    <t>EBIT(1-T)</t>
  </si>
  <si>
    <t>Caped</t>
  </si>
  <si>
    <t>WC Change</t>
  </si>
  <si>
    <t>CFO</t>
  </si>
  <si>
    <t>INT(1-T)</t>
  </si>
  <si>
    <t>Capex</t>
  </si>
  <si>
    <t>EBIDtA</t>
  </si>
  <si>
    <t>D*T</t>
  </si>
  <si>
    <t>WC ch</t>
  </si>
  <si>
    <t>net Bond</t>
  </si>
  <si>
    <t>Depn</t>
  </si>
  <si>
    <t>CH in WC</t>
  </si>
  <si>
    <t>Growth rate 10%</t>
  </si>
  <si>
    <t>WACC 12%</t>
  </si>
  <si>
    <t>PV Factor</t>
  </si>
  <si>
    <t>PV OF FCFF</t>
  </si>
  <si>
    <t>Value of the Firm</t>
  </si>
  <si>
    <t>Five Years</t>
  </si>
  <si>
    <t>Total Value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</si>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</sst>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2"/>
      <color theme="0"/>
      <name val="Trebuchet MS"/>
      <family val="2"/>
    </font>
    <font>
      <sz val="12"/>
      <color theme="0"/>
      <name val="Trebuchet MS"/>
      <family val="2"/>
    </font>
    <font>
      <sz val="12"/>
      <color rgb="FF000000"/>
      <name val="Trebuchet MS"/>
      <family val="2"/>
    </font>
    <font>
      <sz val="12"/>
      <color theme="1"/>
      <name val="Trebuchet MS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4" borderId="2" xfId="0" applyFont="1" applyFill="1" applyBorder="1" applyAlignment="1">
      <alignment horizontal="right"/>
    </xf>
    <xf numFmtId="0" fontId="1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2" fillId="4" borderId="1" xfId="0" applyFont="1" applyFill="1" applyBorder="1" applyAlignment="1">
      <alignment horizontal="right"/>
    </xf>
    <xf numFmtId="0" fontId="1" fillId="6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3" borderId="10" xfId="0" applyFont="1" applyFill="1" applyBorder="1"/>
    <xf numFmtId="0" fontId="1" fillId="3" borderId="2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1" fillId="3" borderId="13" xfId="0" applyFont="1" applyFill="1" applyBorder="1"/>
    <xf numFmtId="0" fontId="1" fillId="3" borderId="14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right"/>
    </xf>
    <xf numFmtId="0" fontId="1" fillId="3" borderId="16" xfId="0" applyFont="1" applyFill="1" applyBorder="1"/>
    <xf numFmtId="0" fontId="3" fillId="7" borderId="1" xfId="0" applyFont="1" applyFill="1" applyBorder="1"/>
    <xf numFmtId="0" fontId="4" fillId="8" borderId="1" xfId="0" applyFont="1" applyFill="1" applyBorder="1"/>
    <xf numFmtId="0" fontId="4" fillId="8" borderId="15" xfId="0" applyFont="1" applyFill="1" applyBorder="1"/>
    <xf numFmtId="0" fontId="4" fillId="8" borderId="2" xfId="0" applyFont="1" applyFill="1" applyBorder="1"/>
    <xf numFmtId="0" fontId="5" fillId="3" borderId="17" xfId="0" applyFont="1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5" fontId="0" fillId="12" borderId="0" xfId="0" applyNumberFormat="1" applyFill="1"/>
    <xf numFmtId="165" fontId="0" fillId="11" borderId="0" xfId="0" applyNumberFormat="1" applyFill="1"/>
    <xf numFmtId="166" fontId="0" fillId="0" borderId="0" xfId="0" applyNumberFormat="1"/>
    <xf numFmtId="165" fontId="0" fillId="15" borderId="0" xfId="0" applyNumberFormat="1" applyFill="1"/>
    <xf numFmtId="0" fontId="0" fillId="5" borderId="0" xfId="0" applyFill="1" applyAlignment="1">
      <alignment horizontal="center" vertical="top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rebuchet MS"/>
        <scheme val="none"/>
      </font>
      <fill>
        <patternFill patternType="solid">
          <fgColor rgb="FF000000"/>
          <bgColor rgb="FF70AD4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none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none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none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none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none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none"/>
      </font>
      <fill>
        <patternFill patternType="solid">
          <fgColor indexed="64"/>
          <bgColor theme="9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rebuchet MS"/>
        <scheme val="none"/>
      </font>
      <fill>
        <patternFill patternType="solid">
          <fgColor rgb="FF000000"/>
          <bgColor rgb="FF70AD47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none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600364</xdr:colOff>
      <xdr:row>54</xdr:row>
      <xdr:rowOff>65049</xdr:rowOff>
    </xdr:from>
    <xdr:to>
      <xdr:col>16</xdr:col>
      <xdr:colOff>103909</xdr:colOff>
      <xdr:row>63</xdr:row>
      <xdr:rowOff>150092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76D8C2-3F45-DF38-A321-7FE039F48258}"/>
            </a:ext>
          </a:extLst>
        </xdr:cNvPr>
        <xdr:cNvSpPr txBox="1"/>
      </xdr:nvSpPr>
      <xdr:spPr>
        <a:xfrm>
          <a:off x="5934364" y="11183322"/>
          <a:ext cx="9120909" cy="195540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latin typeface="Algerian" panose="04020705040A02060702" pitchFamily="82" charset="0"/>
            </a:rPr>
            <a:t>FCFF = NET</a:t>
          </a:r>
          <a:r>
            <a:rPr lang="en-IN" sz="1400" baseline="0">
              <a:latin typeface="Algerian" panose="04020705040A02060702" pitchFamily="82" charset="0"/>
            </a:rPr>
            <a:t> INCOME + Dep and Amortisation + Interest(1-t) - capex - change in working capital</a:t>
          </a:r>
        </a:p>
        <a:p>
          <a:r>
            <a:rPr lang="en-IN" sz="1400" baseline="0">
              <a:latin typeface="Algerian" panose="04020705040A02060702" pitchFamily="82" charset="0"/>
            </a:rPr>
            <a:t>FCFF = EBIDTA * (1- T) + Dep * Tax - Capex +- change in Working Capital</a:t>
          </a:r>
        </a:p>
        <a:p>
          <a:r>
            <a:rPr lang="en-IN" sz="1400" baseline="0">
              <a:latin typeface="Algerian" panose="04020705040A02060702" pitchFamily="82" charset="0"/>
            </a:rPr>
            <a:t>FCFF = EBIT(1-T) + DEP AND AMORTISATION - CAPEX - INCREASE IN WORKING CAPTIAL</a:t>
          </a:r>
        </a:p>
        <a:p>
          <a:r>
            <a:rPr lang="en-IN" sz="1400" baseline="0">
              <a:latin typeface="Algerian" panose="04020705040A02060702" pitchFamily="82" charset="0"/>
            </a:rPr>
            <a:t>FCFF = CFO + INTEREST (1 -T) - CAPEX</a:t>
          </a:r>
        </a:p>
        <a:p>
          <a:r>
            <a:rPr lang="en-IN" sz="1400" baseline="0">
              <a:latin typeface="Algerian" panose="04020705040A02060702" pitchFamily="82" charset="0"/>
            </a:rPr>
            <a:t>FCFE = FCFF - INTEREST (1 - T)  - CAPEX</a:t>
          </a:r>
        </a:p>
        <a:p>
          <a:r>
            <a:rPr lang="en-IN" sz="1400" baseline="0">
              <a:latin typeface="Algerian" panose="04020705040A02060702" pitchFamily="82" charset="0"/>
            </a:rPr>
            <a:t>FCFE = FCFF - INTEREST(1-T) + NET BORROWINGS</a:t>
          </a:r>
        </a:p>
        <a:p>
          <a:r>
            <a:rPr lang="en-IN" sz="1400" baseline="0">
              <a:latin typeface="Algerian" panose="04020705040A02060702" pitchFamily="82" charset="0"/>
            </a:rPr>
            <a:t>NET BORROWINGS = FRESH BOND ISSUE -BOND REPAYMENT</a:t>
          </a:r>
          <a:endParaRPr lang="en-IN" sz="1400">
            <a:latin typeface="Algerian" panose="04020705040A02060702" pitchFamily="8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215782</xdr:colOff>
      <xdr:row>18</xdr:row>
      <xdr:rowOff>144566</xdr:rowOff>
    </xdr:from>
    <xdr:to>
      <xdr:col>16</xdr:col>
      <xdr:colOff>121479</xdr:colOff>
      <xdr:row>22</xdr:row>
      <xdr:rowOff>44174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8DD052-68DB-2540-FAD9-4CEF089A806B}"/>
            </a:ext>
          </a:extLst>
        </xdr:cNvPr>
        <xdr:cNvSpPr txBox="1"/>
      </xdr:nvSpPr>
      <xdr:spPr>
        <a:xfrm>
          <a:off x="8476304" y="3523870"/>
          <a:ext cx="5438479" cy="65056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latin typeface="+mn-lt"/>
            </a:rPr>
            <a:t>Present value of FCFF = Forecast(5)</a:t>
          </a:r>
          <a:r>
            <a:rPr lang="en-IN" sz="1600" baseline="0">
              <a:latin typeface="+mn-lt"/>
            </a:rPr>
            <a:t> + g% + FCFF/(ke -growth)</a:t>
          </a:r>
          <a:endParaRPr lang="en-IN" sz="1600">
            <a:latin typeface="+mn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6:G21" totalsRowShown="0" headerRowDxfId="11" dataDxfId="9" headerRowBorderDxfId="10" tableBorderDxfId="8" totalsRowBorderDxfId="7">
  <tableColumns count="7">
    <tableColumn id="1" xr3:uid="{00000000-0010-0000-0000-000001000000}" name="Items" dataDxfId="6"/>
    <tableColumn id="2" xr3:uid="{00000000-0010-0000-0000-000002000000}" name="2019" dataDxfId="5"/>
    <tableColumn id="3" xr3:uid="{00000000-0010-0000-0000-000003000000}" name="2018" dataDxfId="4"/>
    <tableColumn id="4" xr3:uid="{00000000-0010-0000-0000-000004000000}" name="2017" dataDxfId="3"/>
    <tableColumn id="5" xr3:uid="{00000000-0010-0000-0000-000005000000}" name="2016" dataDxfId="2"/>
    <tableColumn id="6" xr3:uid="{00000000-0010-0000-0000-000006000000}" name="2015" dataDxfId="1"/>
    <tableColumn id="7" xr3:uid="{00000000-0010-0000-0000-000007000000}" name="20152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mailto:Tax@20%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opLeftCell="A44" zoomScale="66" workbookViewId="0">
      <selection activeCell="Y76" sqref="Y76"/>
    </sheetView>
  </sheetViews>
  <sheetFormatPr defaultRowHeight="14.4" x14ac:dyDescent="0.3"/>
  <cols>
    <col min="1" max="1" width="31.44140625" customWidth="1"/>
    <col min="2" max="2" width="10.6640625" bestFit="1" customWidth="1"/>
    <col min="8" max="8" width="41.109375" customWidth="1"/>
    <col min="10" max="10" width="14.33203125" customWidth="1"/>
    <col min="12" max="12" width="22.44140625" bestFit="1" customWidth="1"/>
  </cols>
  <sheetData>
    <row r="1" spans="1:7" x14ac:dyDescent="0.3">
      <c r="A1" t="s">
        <v>42</v>
      </c>
    </row>
    <row r="3" spans="1:7" ht="16.2" x14ac:dyDescent="0.35">
      <c r="A3" s="24" t="s">
        <v>41</v>
      </c>
      <c r="B3" s="24"/>
      <c r="C3" s="24"/>
      <c r="D3" s="24"/>
      <c r="E3" s="24"/>
      <c r="F3" s="24"/>
    </row>
    <row r="4" spans="1:7" ht="13.2" customHeight="1" x14ac:dyDescent="0.35">
      <c r="A4" s="2"/>
      <c r="B4" s="2"/>
      <c r="C4" s="2"/>
      <c r="D4" s="2"/>
      <c r="E4" s="2"/>
      <c r="F4" s="2"/>
    </row>
    <row r="5" spans="1:7" ht="14.4" customHeight="1" x14ac:dyDescent="0.35">
      <c r="A5" s="2"/>
      <c r="B5" s="2"/>
      <c r="C5" s="2"/>
      <c r="D5" s="2"/>
      <c r="E5" s="2"/>
      <c r="F5" s="2"/>
    </row>
    <row r="6" spans="1:7" ht="16.2" x14ac:dyDescent="0.35">
      <c r="A6" s="23" t="s">
        <v>40</v>
      </c>
      <c r="B6" s="22" t="s">
        <v>14</v>
      </c>
      <c r="C6" s="22" t="s">
        <v>13</v>
      </c>
      <c r="D6" s="22" t="s">
        <v>12</v>
      </c>
      <c r="E6" s="22" t="s">
        <v>11</v>
      </c>
      <c r="F6" s="21" t="s">
        <v>10</v>
      </c>
      <c r="G6" s="28" t="s">
        <v>46</v>
      </c>
    </row>
    <row r="7" spans="1:7" ht="16.2" x14ac:dyDescent="0.35">
      <c r="A7" s="20"/>
      <c r="B7" s="19"/>
      <c r="C7" s="19"/>
      <c r="D7" s="19"/>
      <c r="E7" s="19"/>
      <c r="F7" s="18"/>
      <c r="G7" s="26"/>
    </row>
    <row r="8" spans="1:7" ht="16.2" x14ac:dyDescent="0.35">
      <c r="A8" s="20" t="s">
        <v>39</v>
      </c>
      <c r="B8" s="19">
        <v>22000</v>
      </c>
      <c r="C8" s="19">
        <v>20000</v>
      </c>
      <c r="D8" s="19">
        <v>18000</v>
      </c>
      <c r="E8" s="19">
        <v>15000</v>
      </c>
      <c r="F8" s="18">
        <v>10000</v>
      </c>
      <c r="G8" s="25" t="s">
        <v>48</v>
      </c>
    </row>
    <row r="9" spans="1:7" ht="16.2" x14ac:dyDescent="0.35">
      <c r="A9" s="20" t="s">
        <v>38</v>
      </c>
      <c r="B9" s="19">
        <v>-3200</v>
      </c>
      <c r="C9" s="19">
        <v>-3200</v>
      </c>
      <c r="D9" s="19">
        <v>-3000</v>
      </c>
      <c r="E9" s="19">
        <v>-3000</v>
      </c>
      <c r="F9" s="18">
        <v>-2500</v>
      </c>
      <c r="G9" s="25"/>
    </row>
    <row r="10" spans="1:7" ht="16.2" x14ac:dyDescent="0.35">
      <c r="A10" s="20" t="s">
        <v>37</v>
      </c>
      <c r="B10" s="19">
        <f>B8+B9</f>
        <v>18800</v>
      </c>
      <c r="C10" s="19">
        <f>C8+C9</f>
        <v>16800</v>
      </c>
      <c r="D10" s="19">
        <f>D8+D9</f>
        <v>15000</v>
      </c>
      <c r="E10" s="19">
        <f>E8+E9</f>
        <v>12000</v>
      </c>
      <c r="F10" s="18">
        <f>F8+F9</f>
        <v>7500</v>
      </c>
      <c r="G10" s="25"/>
    </row>
    <row r="11" spans="1:7" ht="16.2" x14ac:dyDescent="0.35">
      <c r="A11" s="20"/>
      <c r="B11" s="19"/>
      <c r="C11" s="19"/>
      <c r="D11" s="19"/>
      <c r="E11" s="19"/>
      <c r="F11" s="18"/>
      <c r="G11" s="25"/>
    </row>
    <row r="12" spans="1:7" ht="16.2" x14ac:dyDescent="0.35">
      <c r="A12" s="20" t="s">
        <v>6</v>
      </c>
      <c r="B12" s="19">
        <v>-500</v>
      </c>
      <c r="C12" s="19">
        <v>-500</v>
      </c>
      <c r="D12" s="19">
        <v>-500</v>
      </c>
      <c r="E12" s="19">
        <v>-450</v>
      </c>
      <c r="F12" s="18">
        <v>-400</v>
      </c>
      <c r="G12" s="25"/>
    </row>
    <row r="13" spans="1:7" ht="16.2" x14ac:dyDescent="0.35">
      <c r="A13" s="20" t="s">
        <v>44</v>
      </c>
      <c r="B13" s="19">
        <v>-300</v>
      </c>
      <c r="C13" s="19">
        <v>-300</v>
      </c>
      <c r="D13" s="19">
        <v>-300</v>
      </c>
      <c r="E13" s="19">
        <v>-300</v>
      </c>
      <c r="F13" s="18">
        <v>-300</v>
      </c>
      <c r="G13" s="25" t="s">
        <v>47</v>
      </c>
    </row>
    <row r="14" spans="1:7" ht="16.2" x14ac:dyDescent="0.35">
      <c r="A14" s="20"/>
      <c r="B14" s="19"/>
      <c r="C14" s="19"/>
      <c r="D14" s="19"/>
      <c r="E14" s="19"/>
      <c r="F14" s="18"/>
      <c r="G14" s="25"/>
    </row>
    <row r="15" spans="1:7" ht="16.2" x14ac:dyDescent="0.35">
      <c r="A15" s="20" t="s">
        <v>36</v>
      </c>
      <c r="B15" s="19">
        <f>SUM(B10:B13)</f>
        <v>18000</v>
      </c>
      <c r="C15" s="19">
        <f>SUM(C10:C13)</f>
        <v>16000</v>
      </c>
      <c r="D15" s="19">
        <f>SUM(D10:D13)</f>
        <v>14200</v>
      </c>
      <c r="E15" s="19">
        <f>SUM(E10:E13)</f>
        <v>11250</v>
      </c>
      <c r="F15" s="19">
        <f>SUM(F10:F13)</f>
        <v>6800</v>
      </c>
      <c r="G15" s="25"/>
    </row>
    <row r="16" spans="1:7" ht="16.2" x14ac:dyDescent="0.35">
      <c r="A16" s="20" t="s">
        <v>35</v>
      </c>
      <c r="B16" s="19">
        <v>-50</v>
      </c>
      <c r="C16" s="19">
        <v>-50</v>
      </c>
      <c r="D16" s="19">
        <v>-50</v>
      </c>
      <c r="E16" s="19">
        <v>-50</v>
      </c>
      <c r="F16" s="18">
        <v>-50</v>
      </c>
      <c r="G16" s="25" t="s">
        <v>45</v>
      </c>
    </row>
    <row r="17" spans="1:12" ht="16.2" x14ac:dyDescent="0.35">
      <c r="A17" s="20"/>
      <c r="B17" s="19"/>
      <c r="C17" s="19"/>
      <c r="D17" s="19"/>
      <c r="E17" s="19"/>
      <c r="F17" s="18"/>
      <c r="G17" s="25"/>
    </row>
    <row r="18" spans="1:12" ht="16.2" x14ac:dyDescent="0.35">
      <c r="A18" s="20" t="s">
        <v>34</v>
      </c>
      <c r="B18" s="19">
        <f>B15+B16</f>
        <v>17950</v>
      </c>
      <c r="C18" s="19">
        <f>C15+C16</f>
        <v>15950</v>
      </c>
      <c r="D18" s="19">
        <f>D15+D16</f>
        <v>14150</v>
      </c>
      <c r="E18" s="19">
        <f>E15+E16</f>
        <v>11200</v>
      </c>
      <c r="F18" s="19">
        <f>F15+F16</f>
        <v>6750</v>
      </c>
      <c r="G18" s="25"/>
    </row>
    <row r="19" spans="1:12" ht="16.2" x14ac:dyDescent="0.35">
      <c r="A19" s="20"/>
      <c r="B19" s="19"/>
      <c r="C19" s="19"/>
      <c r="D19" s="19"/>
      <c r="E19" s="19"/>
      <c r="F19" s="18"/>
      <c r="G19" s="25"/>
    </row>
    <row r="20" spans="1:12" ht="16.2" x14ac:dyDescent="0.35">
      <c r="A20" s="20" t="s">
        <v>33</v>
      </c>
      <c r="B20" s="19">
        <f>-B18*0.2</f>
        <v>-3590</v>
      </c>
      <c r="C20" s="19">
        <f>-C18*0.2</f>
        <v>-3190</v>
      </c>
      <c r="D20" s="19">
        <f>-D18*0.2</f>
        <v>-2830</v>
      </c>
      <c r="E20" s="19">
        <f>-E18*0.2</f>
        <v>-2240</v>
      </c>
      <c r="F20" s="18">
        <f>-F18*0.2</f>
        <v>-1350</v>
      </c>
      <c r="G20" s="25"/>
    </row>
    <row r="21" spans="1:12" ht="16.2" x14ac:dyDescent="0.35">
      <c r="A21" s="17" t="s">
        <v>32</v>
      </c>
      <c r="B21" s="16">
        <f>SUM(B18:B20)</f>
        <v>14360</v>
      </c>
      <c r="C21" s="16">
        <f>SUM(C18:C20)</f>
        <v>12760</v>
      </c>
      <c r="D21" s="16">
        <f>SUM(D18:D20)</f>
        <v>11320</v>
      </c>
      <c r="E21" s="16">
        <f>SUM(E18:E20)</f>
        <v>8960</v>
      </c>
      <c r="F21" s="15">
        <f>SUM(F18:F20)</f>
        <v>5400</v>
      </c>
      <c r="G21" s="27"/>
    </row>
    <row r="22" spans="1:12" ht="16.2" x14ac:dyDescent="0.35">
      <c r="A22" s="2"/>
      <c r="B22" s="2"/>
      <c r="C22" s="2"/>
      <c r="D22" s="2"/>
      <c r="E22" s="2"/>
      <c r="F22" s="2"/>
    </row>
    <row r="23" spans="1:12" ht="16.2" x14ac:dyDescent="0.35">
      <c r="A23" s="2"/>
      <c r="B23" s="2"/>
      <c r="C23" s="2"/>
      <c r="D23" s="2"/>
      <c r="E23" s="2"/>
      <c r="F23" s="2"/>
    </row>
    <row r="24" spans="1:12" ht="16.2" x14ac:dyDescent="0.35">
      <c r="A24" s="42" t="s">
        <v>43</v>
      </c>
      <c r="B24" s="42"/>
      <c r="C24" s="42"/>
      <c r="D24" s="2"/>
      <c r="E24" s="2"/>
      <c r="F24" s="2"/>
    </row>
    <row r="25" spans="1:12" ht="16.2" x14ac:dyDescent="0.35">
      <c r="A25" s="42"/>
      <c r="B25" s="42"/>
      <c r="C25" s="42"/>
      <c r="D25" s="2"/>
      <c r="E25" s="2"/>
      <c r="F25" s="2"/>
    </row>
    <row r="26" spans="1:12" ht="16.2" x14ac:dyDescent="0.35">
      <c r="A26" s="42"/>
      <c r="B26" s="42"/>
      <c r="C26" s="42"/>
      <c r="D26" s="2"/>
      <c r="E26" s="2"/>
      <c r="F26" s="2"/>
    </row>
    <row r="27" spans="1:12" ht="16.2" x14ac:dyDescent="0.35">
      <c r="A27" s="42"/>
      <c r="B27" s="42"/>
      <c r="C27" s="42"/>
      <c r="D27" s="2"/>
      <c r="E27" s="2"/>
      <c r="F27" s="2"/>
    </row>
    <row r="28" spans="1:12" ht="16.8" thickBot="1" x14ac:dyDescent="0.4">
      <c r="A28" s="2" t="s">
        <v>31</v>
      </c>
      <c r="B28" s="7" t="s">
        <v>14</v>
      </c>
      <c r="C28" s="7" t="s">
        <v>13</v>
      </c>
      <c r="D28" s="7" t="s">
        <v>12</v>
      </c>
      <c r="E28" s="7" t="s">
        <v>11</v>
      </c>
      <c r="F28" s="7" t="s">
        <v>10</v>
      </c>
    </row>
    <row r="29" spans="1:12" ht="16.2" x14ac:dyDescent="0.35">
      <c r="A29" s="14" t="s">
        <v>30</v>
      </c>
      <c r="B29" s="13">
        <f>B21</f>
        <v>14360</v>
      </c>
      <c r="C29" s="13">
        <f>C21</f>
        <v>12760</v>
      </c>
      <c r="D29" s="13">
        <f>D21</f>
        <v>11320</v>
      </c>
      <c r="E29" s="13">
        <f>E21</f>
        <v>8960</v>
      </c>
      <c r="F29" s="12">
        <f>F21</f>
        <v>5400</v>
      </c>
    </row>
    <row r="30" spans="1:12" ht="16.2" x14ac:dyDescent="0.35">
      <c r="A30" s="11"/>
      <c r="B30" s="6"/>
      <c r="C30" s="6"/>
      <c r="D30" s="6"/>
      <c r="E30" s="6"/>
      <c r="F30" s="10"/>
    </row>
    <row r="31" spans="1:12" ht="16.2" x14ac:dyDescent="0.35">
      <c r="A31" s="11" t="s">
        <v>29</v>
      </c>
      <c r="B31" s="6"/>
      <c r="C31" s="6"/>
      <c r="D31" s="6"/>
      <c r="E31" s="6"/>
      <c r="F31" s="10"/>
    </row>
    <row r="32" spans="1:12" ht="16.2" x14ac:dyDescent="0.35">
      <c r="A32" s="11" t="s">
        <v>6</v>
      </c>
      <c r="B32" s="6">
        <v>500</v>
      </c>
      <c r="C32" s="6">
        <v>500</v>
      </c>
      <c r="D32" s="6">
        <v>500</v>
      </c>
      <c r="E32" s="6">
        <v>450</v>
      </c>
      <c r="F32" s="10">
        <v>400</v>
      </c>
      <c r="L32">
        <f>J32-I32</f>
        <v>0</v>
      </c>
    </row>
    <row r="33" spans="1:6" ht="16.2" x14ac:dyDescent="0.35">
      <c r="A33" s="11" t="s">
        <v>28</v>
      </c>
      <c r="B33" s="6">
        <v>1300</v>
      </c>
      <c r="C33" s="6">
        <v>-3000</v>
      </c>
      <c r="D33" s="6">
        <f>900+1300-500</f>
        <v>1700</v>
      </c>
      <c r="E33" s="6">
        <f>-1500+2000+500</f>
        <v>1000</v>
      </c>
      <c r="F33" s="10">
        <f>-1000-14000+1000</f>
        <v>-14000</v>
      </c>
    </row>
    <row r="34" spans="1:6" ht="16.2" x14ac:dyDescent="0.35">
      <c r="A34" s="11"/>
      <c r="B34" s="6"/>
      <c r="C34" s="6"/>
      <c r="D34" s="6"/>
      <c r="E34" s="6"/>
      <c r="F34" s="10"/>
    </row>
    <row r="35" spans="1:6" ht="16.8" thickBot="1" x14ac:dyDescent="0.4">
      <c r="A35" s="9" t="s">
        <v>27</v>
      </c>
      <c r="B35" s="8">
        <f>B29+B32+B33</f>
        <v>16160</v>
      </c>
      <c r="C35" s="8">
        <f t="shared" ref="C35:F35" si="0">C29+C32+C33</f>
        <v>10260</v>
      </c>
      <c r="D35" s="8">
        <f t="shared" si="0"/>
        <v>13520</v>
      </c>
      <c r="E35" s="8">
        <f t="shared" si="0"/>
        <v>10410</v>
      </c>
      <c r="F35" s="8">
        <f t="shared" si="0"/>
        <v>-8200</v>
      </c>
    </row>
    <row r="36" spans="1:6" ht="16.2" x14ac:dyDescent="0.35">
      <c r="B36" s="2"/>
      <c r="C36" s="2"/>
      <c r="D36" s="2"/>
      <c r="E36" s="2"/>
      <c r="F36" s="2"/>
    </row>
    <row r="37" spans="1:6" ht="16.2" x14ac:dyDescent="0.35">
      <c r="A37" s="2" t="s">
        <v>24</v>
      </c>
      <c r="B37" s="7" t="s">
        <v>14</v>
      </c>
      <c r="C37" s="7" t="s">
        <v>13</v>
      </c>
      <c r="D37" s="7" t="s">
        <v>12</v>
      </c>
      <c r="E37" s="7" t="s">
        <v>11</v>
      </c>
      <c r="F37" s="7" t="s">
        <v>10</v>
      </c>
    </row>
    <row r="38" spans="1:6" ht="16.2" x14ac:dyDescent="0.35">
      <c r="A38" s="6" t="s">
        <v>26</v>
      </c>
      <c r="B38" s="6">
        <v>-500</v>
      </c>
      <c r="C38" s="6">
        <v>-5500</v>
      </c>
      <c r="D38" s="6">
        <v>-1200</v>
      </c>
      <c r="E38" s="6"/>
      <c r="F38" s="6"/>
    </row>
    <row r="39" spans="1:6" ht="16.2" x14ac:dyDescent="0.35">
      <c r="A39" s="6" t="s">
        <v>25</v>
      </c>
      <c r="B39" s="6">
        <v>0</v>
      </c>
      <c r="C39" s="6"/>
      <c r="D39" s="6"/>
      <c r="E39" s="6"/>
      <c r="F39" s="6"/>
    </row>
    <row r="40" spans="1:6" ht="16.2" x14ac:dyDescent="0.35">
      <c r="A40" s="6" t="s">
        <v>24</v>
      </c>
      <c r="B40" s="6"/>
      <c r="C40" s="6"/>
      <c r="D40" s="6"/>
      <c r="E40" s="6"/>
      <c r="F40" s="6"/>
    </row>
    <row r="41" spans="1:6" ht="16.2" x14ac:dyDescent="0.35">
      <c r="A41" s="2"/>
      <c r="B41" s="2"/>
      <c r="C41" s="2"/>
      <c r="D41" s="2"/>
      <c r="E41" s="2"/>
      <c r="F41" s="2"/>
    </row>
    <row r="42" spans="1:6" ht="16.2" x14ac:dyDescent="0.35">
      <c r="B42" s="2"/>
      <c r="C42" s="2"/>
      <c r="D42" s="2"/>
      <c r="E42" s="2"/>
      <c r="F42" s="2"/>
    </row>
    <row r="43" spans="1:6" ht="16.2" x14ac:dyDescent="0.35">
      <c r="A43" s="2" t="s">
        <v>20</v>
      </c>
      <c r="B43" s="7" t="s">
        <v>14</v>
      </c>
      <c r="C43" s="7" t="s">
        <v>13</v>
      </c>
      <c r="D43" s="7" t="s">
        <v>12</v>
      </c>
      <c r="E43" s="7" t="s">
        <v>11</v>
      </c>
      <c r="F43" s="7" t="s">
        <v>10</v>
      </c>
    </row>
    <row r="44" spans="1:6" ht="16.2" x14ac:dyDescent="0.35">
      <c r="A44" s="6" t="s">
        <v>23</v>
      </c>
      <c r="B44" s="6">
        <v>0</v>
      </c>
      <c r="C44" s="6">
        <v>6000</v>
      </c>
      <c r="D44" s="6">
        <v>5000</v>
      </c>
      <c r="E44" s="6">
        <v>3500</v>
      </c>
      <c r="F44" s="6">
        <v>18500</v>
      </c>
    </row>
    <row r="45" spans="1:6" ht="16.2" x14ac:dyDescent="0.35">
      <c r="A45" s="6" t="s">
        <v>22</v>
      </c>
      <c r="B45" s="6">
        <v>0</v>
      </c>
      <c r="C45" s="6"/>
      <c r="D45" s="6"/>
      <c r="E45" s="6"/>
      <c r="F45" s="6">
        <v>30000</v>
      </c>
    </row>
    <row r="46" spans="1:6" ht="16.2" x14ac:dyDescent="0.35">
      <c r="A46" s="6" t="s">
        <v>21</v>
      </c>
      <c r="B46" s="6">
        <v>0</v>
      </c>
      <c r="C46" s="6"/>
      <c r="D46" s="6"/>
      <c r="E46" s="6"/>
      <c r="F46" s="6"/>
    </row>
    <row r="47" spans="1:6" ht="16.2" x14ac:dyDescent="0.35">
      <c r="A47" s="6" t="s">
        <v>20</v>
      </c>
      <c r="B47" s="6"/>
      <c r="C47" s="6"/>
      <c r="D47" s="6"/>
      <c r="E47" s="6"/>
      <c r="F47" s="6"/>
    </row>
    <row r="48" spans="1:6" ht="16.2" x14ac:dyDescent="0.35">
      <c r="A48" s="2"/>
      <c r="B48" s="2"/>
      <c r="C48" s="2"/>
      <c r="D48" s="2"/>
      <c r="E48" s="2"/>
      <c r="F48" s="2"/>
    </row>
    <row r="49" spans="1:6" ht="16.2" x14ac:dyDescent="0.35">
      <c r="A49" s="2"/>
      <c r="B49" s="2"/>
      <c r="C49" s="2"/>
      <c r="D49" s="2"/>
      <c r="E49" s="2"/>
      <c r="F49" s="2"/>
    </row>
    <row r="50" spans="1:6" ht="16.2" x14ac:dyDescent="0.35">
      <c r="A50" s="5" t="s">
        <v>19</v>
      </c>
      <c r="B50" s="5">
        <f>B47+B40+B35</f>
        <v>16160</v>
      </c>
      <c r="C50" s="5">
        <f>C47+C40+C35</f>
        <v>10260</v>
      </c>
      <c r="D50" s="5">
        <f>D47+D40+D35</f>
        <v>13520</v>
      </c>
      <c r="E50" s="5">
        <f>E47+E40+E35</f>
        <v>10410</v>
      </c>
      <c r="F50" s="5">
        <f>F47+F40+F35</f>
        <v>-8200</v>
      </c>
    </row>
    <row r="51" spans="1:6" ht="16.2" x14ac:dyDescent="0.35">
      <c r="A51" s="2"/>
      <c r="B51" s="2"/>
      <c r="C51" s="2"/>
      <c r="D51" s="2"/>
      <c r="E51" s="2"/>
      <c r="F51" s="2"/>
    </row>
    <row r="52" spans="1:6" ht="16.2" x14ac:dyDescent="0.35">
      <c r="A52" s="2"/>
      <c r="B52" s="2"/>
      <c r="C52" s="2"/>
      <c r="D52" s="2"/>
      <c r="E52" s="2"/>
      <c r="F52" s="2"/>
    </row>
    <row r="53" spans="1:6" ht="16.2" x14ac:dyDescent="0.35">
      <c r="A53" s="2"/>
      <c r="B53" s="2"/>
      <c r="C53" s="2"/>
      <c r="D53" s="2"/>
      <c r="E53" s="2"/>
      <c r="F53" s="2"/>
    </row>
    <row r="54" spans="1:6" ht="16.2" x14ac:dyDescent="0.35">
      <c r="A54" s="2"/>
      <c r="B54" s="3" t="s">
        <v>14</v>
      </c>
      <c r="C54" s="3" t="s">
        <v>13</v>
      </c>
      <c r="D54" s="3" t="s">
        <v>12</v>
      </c>
      <c r="E54" s="3" t="s">
        <v>11</v>
      </c>
      <c r="F54" s="3" t="s">
        <v>10</v>
      </c>
    </row>
    <row r="55" spans="1:6" ht="16.2" x14ac:dyDescent="0.35">
      <c r="A55" s="4" t="s">
        <v>9</v>
      </c>
      <c r="B55" s="4">
        <f>B15+(-1*(B12))</f>
        <v>18500</v>
      </c>
      <c r="C55" s="4">
        <f t="shared" ref="C55:F55" si="1">C15+(-1*(C12))</f>
        <v>16500</v>
      </c>
      <c r="D55" s="4">
        <f t="shared" si="1"/>
        <v>14700</v>
      </c>
      <c r="E55" s="4">
        <f t="shared" si="1"/>
        <v>11700</v>
      </c>
      <c r="F55" s="4">
        <f t="shared" si="1"/>
        <v>7200</v>
      </c>
    </row>
    <row r="56" spans="1:6" ht="16.2" x14ac:dyDescent="0.35">
      <c r="A56" s="4" t="s">
        <v>8</v>
      </c>
      <c r="B56" s="4">
        <f>B15</f>
        <v>18000</v>
      </c>
      <c r="C56" s="4">
        <f t="shared" ref="C56:F56" si="2">C15</f>
        <v>16000</v>
      </c>
      <c r="D56" s="4">
        <f t="shared" si="2"/>
        <v>14200</v>
      </c>
      <c r="E56" s="4">
        <f t="shared" si="2"/>
        <v>11250</v>
      </c>
      <c r="F56" s="4">
        <f t="shared" si="2"/>
        <v>6800</v>
      </c>
    </row>
    <row r="57" spans="1:6" ht="16.2" x14ac:dyDescent="0.35">
      <c r="A57" s="4"/>
      <c r="B57" s="4"/>
      <c r="C57" s="4"/>
      <c r="D57" s="4"/>
      <c r="E57" s="4"/>
      <c r="F57" s="4"/>
    </row>
    <row r="58" spans="1:6" ht="16.2" x14ac:dyDescent="0.35">
      <c r="A58" s="4" t="s">
        <v>18</v>
      </c>
      <c r="B58" s="4">
        <f>B35</f>
        <v>16160</v>
      </c>
      <c r="C58" s="4">
        <f>C35</f>
        <v>10260</v>
      </c>
      <c r="D58" s="4">
        <f>D35</f>
        <v>13520</v>
      </c>
      <c r="E58" s="4">
        <f>E35</f>
        <v>10410</v>
      </c>
      <c r="F58" s="4">
        <f>F35</f>
        <v>-8200</v>
      </c>
    </row>
    <row r="59" spans="1:6" ht="16.2" x14ac:dyDescent="0.35">
      <c r="A59" s="4"/>
      <c r="B59" s="4"/>
      <c r="C59" s="4"/>
      <c r="D59" s="4"/>
      <c r="E59" s="4"/>
      <c r="F59" s="4"/>
    </row>
    <row r="60" spans="1:6" ht="16.2" x14ac:dyDescent="0.35">
      <c r="A60" s="4" t="s">
        <v>17</v>
      </c>
      <c r="B60" s="4">
        <f>B58+B38</f>
        <v>15660</v>
      </c>
      <c r="C60" s="4">
        <f t="shared" ref="C60:F60" si="3">C58+C38</f>
        <v>4760</v>
      </c>
      <c r="D60" s="4">
        <f t="shared" si="3"/>
        <v>12320</v>
      </c>
      <c r="E60" s="4">
        <f t="shared" si="3"/>
        <v>10410</v>
      </c>
      <c r="F60" s="4">
        <f t="shared" si="3"/>
        <v>-8200</v>
      </c>
    </row>
    <row r="61" spans="1:6" ht="16.2" x14ac:dyDescent="0.35">
      <c r="A61" s="4"/>
      <c r="B61" s="4"/>
      <c r="C61" s="4"/>
      <c r="D61" s="4"/>
      <c r="E61" s="4"/>
      <c r="F61" s="4"/>
    </row>
    <row r="62" spans="1:6" ht="16.2" x14ac:dyDescent="0.35">
      <c r="A62" s="4" t="s">
        <v>16</v>
      </c>
      <c r="B62" s="4">
        <f>B64+(B16*(1-0.2))-B44</f>
        <v>15660</v>
      </c>
      <c r="C62" s="4">
        <f t="shared" ref="C62:F62" si="4">C64-(C16*(1-0.2))</f>
        <v>4840</v>
      </c>
      <c r="D62" s="4">
        <f t="shared" si="4"/>
        <v>12400</v>
      </c>
      <c r="E62" s="4">
        <f t="shared" si="4"/>
        <v>10490</v>
      </c>
      <c r="F62" s="4">
        <f t="shared" si="4"/>
        <v>-8120</v>
      </c>
    </row>
    <row r="63" spans="1:6" ht="16.2" x14ac:dyDescent="0.35">
      <c r="A63" s="4"/>
      <c r="B63" s="4"/>
      <c r="C63" s="4"/>
      <c r="D63" s="4"/>
      <c r="E63" s="4"/>
      <c r="F63" s="4"/>
    </row>
    <row r="64" spans="1:6" ht="16.2" x14ac:dyDescent="0.35">
      <c r="A64" s="4" t="s">
        <v>15</v>
      </c>
      <c r="B64" s="4">
        <f>B56*(1-0.2)+B32+B38+B33</f>
        <v>15700</v>
      </c>
      <c r="C64" s="4">
        <f t="shared" ref="C64:F64" si="5">C56*(1-0.2)+C32+C38+C33</f>
        <v>4800</v>
      </c>
      <c r="D64" s="4">
        <f t="shared" si="5"/>
        <v>12360</v>
      </c>
      <c r="E64" s="4">
        <f t="shared" si="5"/>
        <v>10450</v>
      </c>
      <c r="F64" s="4">
        <f t="shared" si="5"/>
        <v>-8160</v>
      </c>
    </row>
    <row r="65" spans="1:17" ht="16.2" x14ac:dyDescent="0.35">
      <c r="A65" s="2"/>
      <c r="B65" s="2"/>
      <c r="C65" s="2"/>
      <c r="D65" s="2"/>
      <c r="E65" s="2"/>
      <c r="F65" s="2"/>
    </row>
    <row r="66" spans="1:17" ht="16.2" x14ac:dyDescent="0.35">
      <c r="A66" s="2"/>
      <c r="B66" s="3" t="s">
        <v>14</v>
      </c>
      <c r="C66" s="3" t="s">
        <v>13</v>
      </c>
      <c r="D66" s="3" t="s">
        <v>12</v>
      </c>
      <c r="E66" s="3" t="s">
        <v>11</v>
      </c>
      <c r="F66" s="3" t="s">
        <v>10</v>
      </c>
    </row>
    <row r="67" spans="1:17" ht="16.2" x14ac:dyDescent="0.35">
      <c r="A67" s="1" t="s">
        <v>9</v>
      </c>
      <c r="B67" s="1">
        <f>B55</f>
        <v>18500</v>
      </c>
      <c r="C67" s="1">
        <f>C55</f>
        <v>16500</v>
      </c>
      <c r="D67" s="1">
        <f>D55</f>
        <v>14700</v>
      </c>
      <c r="E67" s="1">
        <f>E55</f>
        <v>11700</v>
      </c>
      <c r="F67" s="1">
        <f>F55</f>
        <v>7200</v>
      </c>
    </row>
    <row r="68" spans="1:17" ht="16.2" x14ac:dyDescent="0.35">
      <c r="A68" s="1" t="s">
        <v>6</v>
      </c>
      <c r="B68" s="1">
        <f>B12</f>
        <v>-500</v>
      </c>
      <c r="C68" s="1">
        <f>C12</f>
        <v>-500</v>
      </c>
      <c r="D68" s="1">
        <f>D12</f>
        <v>-500</v>
      </c>
      <c r="E68" s="1">
        <f>E12</f>
        <v>-450</v>
      </c>
      <c r="F68" s="1">
        <f>F12</f>
        <v>-400</v>
      </c>
    </row>
    <row r="69" spans="1:17" ht="16.2" x14ac:dyDescent="0.35">
      <c r="A69" s="1" t="s">
        <v>8</v>
      </c>
      <c r="B69" s="1">
        <f>B67+B68</f>
        <v>18000</v>
      </c>
      <c r="C69" s="1">
        <f>C67+C68</f>
        <v>16000</v>
      </c>
      <c r="D69" s="1">
        <f>D67+D68</f>
        <v>14200</v>
      </c>
      <c r="E69" s="1">
        <f>E67+E68</f>
        <v>11250</v>
      </c>
      <c r="F69" s="1">
        <f>F67+F68</f>
        <v>6800</v>
      </c>
    </row>
    <row r="70" spans="1:17" ht="16.2" x14ac:dyDescent="0.35">
      <c r="A70" s="1" t="str">
        <f t="shared" ref="A70:F70" si="6">A20</f>
        <v>Tax@20%</v>
      </c>
      <c r="B70" s="1">
        <f>0.2*B69</f>
        <v>3600</v>
      </c>
      <c r="C70" s="1">
        <f t="shared" si="6"/>
        <v>-3190</v>
      </c>
      <c r="D70" s="1">
        <f t="shared" si="6"/>
        <v>-2830</v>
      </c>
      <c r="E70" s="1">
        <f t="shared" si="6"/>
        <v>-2240</v>
      </c>
      <c r="F70" s="1">
        <f t="shared" si="6"/>
        <v>-1350</v>
      </c>
    </row>
    <row r="71" spans="1:17" ht="16.2" x14ac:dyDescent="0.35">
      <c r="A71" s="1" t="s">
        <v>7</v>
      </c>
      <c r="B71" s="1">
        <f>B69-B70</f>
        <v>14400</v>
      </c>
      <c r="C71" s="1">
        <f>C69+C70</f>
        <v>12810</v>
      </c>
      <c r="D71" s="1">
        <f>D69+D70</f>
        <v>11370</v>
      </c>
      <c r="E71" s="1">
        <f>E69+E70</f>
        <v>9010</v>
      </c>
      <c r="F71" s="1">
        <f>F69+F70</f>
        <v>5450</v>
      </c>
      <c r="I71">
        <v>1</v>
      </c>
      <c r="K71">
        <v>2</v>
      </c>
      <c r="M71">
        <v>3</v>
      </c>
      <c r="O71">
        <v>4</v>
      </c>
      <c r="Q71">
        <v>5</v>
      </c>
    </row>
    <row r="72" spans="1:17" ht="16.2" x14ac:dyDescent="0.35">
      <c r="A72" s="1" t="s">
        <v>6</v>
      </c>
      <c r="B72" s="1">
        <f>-B68</f>
        <v>500</v>
      </c>
      <c r="C72" s="1">
        <f>-C68</f>
        <v>500</v>
      </c>
      <c r="D72" s="1">
        <f>-D68</f>
        <v>500</v>
      </c>
      <c r="E72" s="1">
        <f>-E68</f>
        <v>450</v>
      </c>
      <c r="F72" s="1">
        <f>-F68</f>
        <v>400</v>
      </c>
      <c r="H72" t="s">
        <v>49</v>
      </c>
      <c r="I72" s="29">
        <f>B21</f>
        <v>14360</v>
      </c>
      <c r="J72" t="s">
        <v>55</v>
      </c>
      <c r="K72" s="30">
        <f>B71</f>
        <v>14400</v>
      </c>
      <c r="L72" t="s">
        <v>58</v>
      </c>
      <c r="M72" s="31">
        <f>B58</f>
        <v>16160</v>
      </c>
      <c r="N72" t="s">
        <v>54</v>
      </c>
      <c r="O72" s="33">
        <v>15700</v>
      </c>
      <c r="P72" t="s">
        <v>61</v>
      </c>
      <c r="Q72" s="34">
        <f>14800</f>
        <v>14800</v>
      </c>
    </row>
    <row r="73" spans="1:17" ht="16.2" x14ac:dyDescent="0.35">
      <c r="A73" s="1" t="s">
        <v>5</v>
      </c>
      <c r="B73" s="1">
        <f>B33</f>
        <v>1300</v>
      </c>
      <c r="C73" s="1">
        <f>C33</f>
        <v>-3000</v>
      </c>
      <c r="D73" s="1">
        <f>D33</f>
        <v>1700</v>
      </c>
      <c r="E73" s="1">
        <f>E33</f>
        <v>1000</v>
      </c>
      <c r="F73" s="1">
        <f>F33</f>
        <v>-14000</v>
      </c>
      <c r="H73" t="s">
        <v>50</v>
      </c>
      <c r="I73" s="29">
        <f>500</f>
        <v>500</v>
      </c>
      <c r="J73" t="s">
        <v>50</v>
      </c>
      <c r="K73" s="30">
        <f>B72</f>
        <v>500</v>
      </c>
      <c r="M73" s="31"/>
      <c r="O73" s="33"/>
      <c r="P73" t="s">
        <v>62</v>
      </c>
      <c r="Q73" s="34">
        <v>100</v>
      </c>
    </row>
    <row r="74" spans="1:17" ht="16.2" x14ac:dyDescent="0.35">
      <c r="A74" s="1" t="s">
        <v>4</v>
      </c>
      <c r="B74" s="1">
        <v>-500</v>
      </c>
      <c r="C74" s="1">
        <v>-500</v>
      </c>
      <c r="D74" s="1">
        <v>-500</v>
      </c>
      <c r="E74" s="1">
        <v>-500</v>
      </c>
      <c r="F74" s="1">
        <v>-500</v>
      </c>
      <c r="H74" t="s">
        <v>51</v>
      </c>
      <c r="I74" s="29">
        <v>40</v>
      </c>
      <c r="K74" s="30"/>
      <c r="L74" t="s">
        <v>59</v>
      </c>
      <c r="M74" s="31">
        <v>40</v>
      </c>
      <c r="N74" t="s">
        <v>59</v>
      </c>
      <c r="O74" s="33">
        <v>-40</v>
      </c>
      <c r="Q74" s="34"/>
    </row>
    <row r="75" spans="1:17" ht="16.2" x14ac:dyDescent="0.35">
      <c r="A75" s="1" t="s">
        <v>3</v>
      </c>
      <c r="B75" s="1">
        <f>SUM(B71:B74)</f>
        <v>15700</v>
      </c>
      <c r="C75" s="1">
        <f>SUM(C71:C74)</f>
        <v>9810</v>
      </c>
      <c r="D75" s="1">
        <f>SUM(D71:D74)</f>
        <v>13070</v>
      </c>
      <c r="E75" s="1">
        <f>SUM(E71:E74)</f>
        <v>9960</v>
      </c>
      <c r="F75" s="1">
        <f>SUM(F71:F74)</f>
        <v>-8650</v>
      </c>
      <c r="H75" t="s">
        <v>52</v>
      </c>
      <c r="I75" s="29">
        <v>-500</v>
      </c>
      <c r="J75" t="s">
        <v>56</v>
      </c>
      <c r="K75" s="30">
        <f>B74</f>
        <v>-500</v>
      </c>
      <c r="L75" t="s">
        <v>60</v>
      </c>
      <c r="M75" s="31">
        <v>-500</v>
      </c>
      <c r="N75" t="s">
        <v>64</v>
      </c>
      <c r="O75" s="33">
        <v>0</v>
      </c>
      <c r="P75" t="s">
        <v>60</v>
      </c>
      <c r="Q75" s="34">
        <v>-500</v>
      </c>
    </row>
    <row r="76" spans="1:17" ht="16.2" x14ac:dyDescent="0.35">
      <c r="A76" s="2"/>
      <c r="B76" s="2"/>
      <c r="C76" s="2"/>
      <c r="D76" s="2"/>
      <c r="E76" s="2"/>
      <c r="F76" s="2"/>
      <c r="H76" t="s">
        <v>53</v>
      </c>
      <c r="I76" s="29">
        <v>1300</v>
      </c>
      <c r="J76" t="s">
        <v>57</v>
      </c>
      <c r="K76" s="30">
        <f>B73</f>
        <v>1300</v>
      </c>
      <c r="M76" s="31"/>
      <c r="O76" s="33"/>
      <c r="P76" t="s">
        <v>63</v>
      </c>
      <c r="Q76" s="34">
        <v>1300</v>
      </c>
    </row>
    <row r="77" spans="1:17" ht="16.2" x14ac:dyDescent="0.35">
      <c r="A77" s="1" t="str">
        <f t="shared" ref="A77:F77" si="7">A16</f>
        <v>Interest</v>
      </c>
      <c r="B77" s="1">
        <f t="shared" si="7"/>
        <v>-50</v>
      </c>
      <c r="C77" s="1">
        <f t="shared" si="7"/>
        <v>-50</v>
      </c>
      <c r="D77" s="1">
        <f t="shared" si="7"/>
        <v>-50</v>
      </c>
      <c r="E77" s="1">
        <f t="shared" si="7"/>
        <v>-50</v>
      </c>
      <c r="F77" s="1">
        <f t="shared" si="7"/>
        <v>-50</v>
      </c>
    </row>
    <row r="78" spans="1:17" ht="16.2" x14ac:dyDescent="0.35">
      <c r="A78" s="1" t="s">
        <v>2</v>
      </c>
      <c r="B78" s="1">
        <f>B77*(1-0.2)</f>
        <v>-40</v>
      </c>
      <c r="C78" s="1">
        <f>C77*(1-0.2)</f>
        <v>-40</v>
      </c>
      <c r="D78" s="1">
        <f>D77*(1-0.2)</f>
        <v>-40</v>
      </c>
      <c r="E78" s="1">
        <f>E77*(1-0.2)</f>
        <v>-40</v>
      </c>
      <c r="F78" s="1">
        <f>F77*(1-0.2)</f>
        <v>-40</v>
      </c>
      <c r="H78" s="32" t="s">
        <v>54</v>
      </c>
      <c r="I78" s="32">
        <f>I72+I73+I74+I75+I76</f>
        <v>15700</v>
      </c>
      <c r="J78" s="32"/>
      <c r="K78" s="32">
        <f>K72+K73+K75+K76</f>
        <v>15700</v>
      </c>
      <c r="L78" s="32"/>
      <c r="M78" s="32">
        <f>M72+M74+M75</f>
        <v>15700</v>
      </c>
      <c r="N78" s="32"/>
      <c r="O78" s="32">
        <f>O72+O74+O75</f>
        <v>15660</v>
      </c>
      <c r="P78" s="32"/>
      <c r="Q78" s="32">
        <f>Q72+Q73+Q75+Q76</f>
        <v>15700</v>
      </c>
    </row>
    <row r="79" spans="1:17" ht="16.2" x14ac:dyDescent="0.35">
      <c r="A79" s="1"/>
      <c r="B79" s="1"/>
      <c r="C79" s="1"/>
      <c r="D79" s="1"/>
      <c r="E79" s="1"/>
      <c r="F79" s="1"/>
    </row>
    <row r="80" spans="1:17" ht="16.2" x14ac:dyDescent="0.35">
      <c r="A80" s="1" t="s">
        <v>1</v>
      </c>
      <c r="B80" s="1">
        <f>B44</f>
        <v>0</v>
      </c>
      <c r="C80" s="1">
        <f>C44</f>
        <v>6000</v>
      </c>
      <c r="D80" s="1">
        <f>D44</f>
        <v>5000</v>
      </c>
      <c r="E80" s="1">
        <f>E44</f>
        <v>3500</v>
      </c>
      <c r="F80" s="1">
        <f>F44</f>
        <v>18500</v>
      </c>
    </row>
    <row r="81" spans="1:6" ht="16.2" x14ac:dyDescent="0.35">
      <c r="A81" s="1"/>
      <c r="B81" s="1"/>
      <c r="C81" s="1"/>
      <c r="D81" s="1"/>
      <c r="E81" s="1"/>
      <c r="F81" s="1"/>
    </row>
    <row r="82" spans="1:6" ht="16.2" x14ac:dyDescent="0.35">
      <c r="A82" s="1" t="s">
        <v>0</v>
      </c>
      <c r="B82" s="1">
        <f>B75+B78+B80</f>
        <v>15660</v>
      </c>
      <c r="C82" s="1">
        <f>C75+C78+C80</f>
        <v>15770</v>
      </c>
      <c r="D82" s="1">
        <f>D75+D78+D80</f>
        <v>18030</v>
      </c>
      <c r="E82" s="1">
        <f>E75+E78+E80</f>
        <v>13420</v>
      </c>
      <c r="F82" s="1">
        <f>F75+F78+F80</f>
        <v>9810</v>
      </c>
    </row>
  </sheetData>
  <mergeCells count="1">
    <mergeCell ref="A24:C27"/>
  </mergeCells>
  <hyperlinks>
    <hyperlink ref="A20" r:id="rId1" xr:uid="{00000000-0004-0000-0000-000000000000}"/>
  </hyperlink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AC0A-BB61-47CB-9B9B-6D184CCA8C18}">
  <dimension ref="C6:S37"/>
  <sheetViews>
    <sheetView topLeftCell="B1" zoomScale="87" workbookViewId="0">
      <selection activeCell="I26" sqref="I26"/>
    </sheetView>
  </sheetViews>
  <sheetFormatPr defaultRowHeight="14.4" x14ac:dyDescent="0.3"/>
  <cols>
    <col min="3" max="3" width="17.6640625" bestFit="1" customWidth="1"/>
    <col min="4" max="4" width="27.5546875" customWidth="1"/>
    <col min="5" max="5" width="13.6640625" bestFit="1" customWidth="1"/>
    <col min="6" max="6" width="12.6640625" bestFit="1" customWidth="1"/>
    <col min="7" max="8" width="9.5546875" bestFit="1" customWidth="1"/>
    <col min="9" max="9" width="12" bestFit="1" customWidth="1"/>
    <col min="10" max="12" width="13.44140625" bestFit="1" customWidth="1"/>
    <col min="13" max="13" width="9.44140625" bestFit="1" customWidth="1"/>
    <col min="14" max="14" width="13.44140625" bestFit="1" customWidth="1"/>
  </cols>
  <sheetData>
    <row r="6" spans="3:19" x14ac:dyDescent="0.3">
      <c r="D6" t="s">
        <v>68</v>
      </c>
      <c r="E6" s="43" t="s">
        <v>67</v>
      </c>
      <c r="F6" s="43"/>
      <c r="G6" s="43"/>
      <c r="H6" s="43"/>
      <c r="I6" s="43"/>
      <c r="J6" s="37">
        <v>0.06</v>
      </c>
      <c r="N6" s="37">
        <v>0.06</v>
      </c>
      <c r="O6" s="37">
        <v>0.04</v>
      </c>
    </row>
    <row r="7" spans="3:19" x14ac:dyDescent="0.3">
      <c r="E7">
        <v>1</v>
      </c>
      <c r="F7">
        <v>2</v>
      </c>
      <c r="G7">
        <v>3</v>
      </c>
      <c r="H7">
        <v>4</v>
      </c>
      <c r="I7">
        <v>5</v>
      </c>
      <c r="J7">
        <v>6</v>
      </c>
      <c r="K7">
        <v>7</v>
      </c>
      <c r="L7">
        <v>8</v>
      </c>
      <c r="M7">
        <v>9</v>
      </c>
      <c r="N7">
        <v>10</v>
      </c>
      <c r="O7">
        <v>11</v>
      </c>
    </row>
    <row r="8" spans="3:19" x14ac:dyDescent="0.3">
      <c r="D8" t="s">
        <v>55</v>
      </c>
      <c r="E8" s="36">
        <v>100</v>
      </c>
      <c r="F8" s="36">
        <f>E8*1.1</f>
        <v>110.00000000000001</v>
      </c>
      <c r="G8" s="36">
        <f t="shared" ref="G8:I8" si="0">F8*1.1</f>
        <v>121.00000000000003</v>
      </c>
      <c r="H8" s="36">
        <f t="shared" si="0"/>
        <v>133.10000000000005</v>
      </c>
      <c r="I8" s="36">
        <f t="shared" si="0"/>
        <v>146.41000000000008</v>
      </c>
      <c r="J8" s="36">
        <f>I8*1.06</f>
        <v>155.19460000000009</v>
      </c>
      <c r="K8" s="36">
        <f>J8*1.06</f>
        <v>164.5062760000001</v>
      </c>
      <c r="L8" s="36">
        <f t="shared" ref="L8:N8" si="1">K8*1.06</f>
        <v>174.37665256000011</v>
      </c>
      <c r="M8" s="36">
        <f t="shared" si="1"/>
        <v>184.83925171360013</v>
      </c>
      <c r="N8" s="36">
        <f t="shared" si="1"/>
        <v>195.92960681641614</v>
      </c>
      <c r="O8" s="36">
        <f>N8*1.04</f>
        <v>203.7667910890728</v>
      </c>
      <c r="P8" s="36"/>
      <c r="Q8" s="36"/>
      <c r="R8" s="36"/>
      <c r="S8" s="36"/>
    </row>
    <row r="9" spans="3:19" x14ac:dyDescent="0.3">
      <c r="D9" t="s">
        <v>65</v>
      </c>
      <c r="E9" s="36">
        <v>25</v>
      </c>
      <c r="F9" s="36">
        <f t="shared" ref="F9:I12" si="2">E9*1.1</f>
        <v>27.500000000000004</v>
      </c>
      <c r="G9" s="36">
        <f t="shared" si="2"/>
        <v>30.250000000000007</v>
      </c>
      <c r="H9" s="36">
        <f t="shared" si="2"/>
        <v>33.275000000000013</v>
      </c>
      <c r="I9" s="36">
        <f t="shared" si="2"/>
        <v>36.60250000000002</v>
      </c>
      <c r="J9" s="36">
        <f t="shared" ref="J9:N12" si="3">I9*1.06</f>
        <v>38.798650000000023</v>
      </c>
      <c r="K9" s="36">
        <f t="shared" si="3"/>
        <v>41.126569000000025</v>
      </c>
      <c r="L9" s="36">
        <f t="shared" si="3"/>
        <v>43.594163140000028</v>
      </c>
      <c r="M9" s="36">
        <f t="shared" si="3"/>
        <v>46.209812928400034</v>
      </c>
      <c r="N9" s="36">
        <f t="shared" si="3"/>
        <v>48.982401704104035</v>
      </c>
      <c r="O9" s="36">
        <f>N9*1.04</f>
        <v>50.941697772268199</v>
      </c>
      <c r="P9" s="36"/>
      <c r="Q9" s="36"/>
      <c r="R9" s="36"/>
      <c r="S9" s="36"/>
    </row>
    <row r="10" spans="3:19" x14ac:dyDescent="0.3">
      <c r="D10" t="s">
        <v>4</v>
      </c>
      <c r="E10" s="36">
        <v>65</v>
      </c>
      <c r="F10" s="36">
        <f t="shared" si="2"/>
        <v>71.5</v>
      </c>
      <c r="G10" s="36">
        <f t="shared" si="2"/>
        <v>78.650000000000006</v>
      </c>
      <c r="H10" s="36">
        <f t="shared" si="2"/>
        <v>86.515000000000015</v>
      </c>
      <c r="I10" s="36">
        <f t="shared" si="2"/>
        <v>95.166500000000028</v>
      </c>
      <c r="J10" s="36">
        <f t="shared" si="3"/>
        <v>100.87649000000003</v>
      </c>
      <c r="K10" s="36">
        <f t="shared" si="3"/>
        <v>106.92907940000003</v>
      </c>
      <c r="L10" s="36">
        <f t="shared" si="3"/>
        <v>113.34482416400004</v>
      </c>
      <c r="M10" s="36">
        <f t="shared" si="3"/>
        <v>120.14551361384005</v>
      </c>
      <c r="N10" s="36">
        <f t="shared" si="3"/>
        <v>127.35424443067046</v>
      </c>
      <c r="O10" s="36">
        <f>N10*1.04</f>
        <v>132.44841420789729</v>
      </c>
      <c r="P10" s="36"/>
      <c r="Q10" s="36"/>
      <c r="R10" s="36"/>
      <c r="S10" s="36"/>
    </row>
    <row r="11" spans="3:19" x14ac:dyDescent="0.3">
      <c r="D11" t="s">
        <v>66</v>
      </c>
      <c r="E11" s="36">
        <v>5</v>
      </c>
      <c r="F11" s="36">
        <f t="shared" si="2"/>
        <v>5.5</v>
      </c>
      <c r="G11" s="36">
        <f t="shared" si="2"/>
        <v>6.0500000000000007</v>
      </c>
      <c r="H11" s="36">
        <f t="shared" si="2"/>
        <v>6.6550000000000011</v>
      </c>
      <c r="I11" s="36">
        <f t="shared" si="2"/>
        <v>7.3205000000000018</v>
      </c>
      <c r="J11" s="36">
        <f t="shared" si="3"/>
        <v>7.759730000000002</v>
      </c>
      <c r="K11" s="36">
        <f t="shared" si="3"/>
        <v>8.2253138000000021</v>
      </c>
      <c r="L11" s="36">
        <f t="shared" si="3"/>
        <v>8.718832628000003</v>
      </c>
      <c r="M11" s="36">
        <f t="shared" si="3"/>
        <v>9.2419625856800032</v>
      </c>
      <c r="N11" s="36">
        <f t="shared" si="3"/>
        <v>9.7964803408208034</v>
      </c>
      <c r="O11" s="36">
        <f>N11*1.04</f>
        <v>10.188339554453636</v>
      </c>
      <c r="P11" s="36"/>
      <c r="Q11" s="36"/>
      <c r="R11" s="36"/>
      <c r="S11" s="36"/>
    </row>
    <row r="12" spans="3:19" x14ac:dyDescent="0.3">
      <c r="D12" t="s">
        <v>54</v>
      </c>
      <c r="E12" s="38">
        <v>55</v>
      </c>
      <c r="F12" s="38">
        <f t="shared" si="2"/>
        <v>60.500000000000007</v>
      </c>
      <c r="G12" s="38">
        <f t="shared" si="2"/>
        <v>66.550000000000011</v>
      </c>
      <c r="H12" s="38">
        <f t="shared" si="2"/>
        <v>73.205000000000013</v>
      </c>
      <c r="I12" s="38">
        <f>H12*1.1</f>
        <v>80.525500000000022</v>
      </c>
      <c r="J12" s="39">
        <f>I12*1.06</f>
        <v>85.357030000000023</v>
      </c>
      <c r="K12" s="39">
        <f>J12*1.06</f>
        <v>90.47845180000003</v>
      </c>
      <c r="L12" s="39">
        <f t="shared" si="3"/>
        <v>95.907158908000042</v>
      </c>
      <c r="M12" s="39">
        <f t="shared" si="3"/>
        <v>101.66158844248005</v>
      </c>
      <c r="N12" s="39">
        <f t="shared" si="3"/>
        <v>107.76128374902886</v>
      </c>
      <c r="O12" s="39">
        <f>N12*1.04</f>
        <v>112.07173509899002</v>
      </c>
      <c r="P12" s="36"/>
      <c r="Q12" s="36"/>
      <c r="R12" s="36"/>
      <c r="S12" s="36"/>
    </row>
    <row r="13" spans="3:19" x14ac:dyDescent="0.3">
      <c r="D13" t="s">
        <v>69</v>
      </c>
      <c r="E13" s="40">
        <f>1/(1.12)^E7</f>
        <v>0.89285714285714279</v>
      </c>
      <c r="F13" s="40">
        <f>1/(1.12)^F7</f>
        <v>0.79719387755102034</v>
      </c>
      <c r="G13" s="40">
        <f t="shared" ref="G13:K13" si="4">1/(1.12)^G7</f>
        <v>0.71178024781341087</v>
      </c>
      <c r="H13" s="40">
        <f t="shared" si="4"/>
        <v>0.63551807840483121</v>
      </c>
      <c r="I13" s="40">
        <f t="shared" si="4"/>
        <v>0.56742685571859919</v>
      </c>
      <c r="J13" s="40">
        <f>1/(1.12)^J7</f>
        <v>0.50663112117732068</v>
      </c>
      <c r="K13" s="40">
        <f t="shared" si="4"/>
        <v>0.45234921533689343</v>
      </c>
      <c r="L13" s="40">
        <f>1/(1.12)^L7</f>
        <v>0.4038832279793691</v>
      </c>
      <c r="M13" s="40">
        <f>1/(1.12)^M7</f>
        <v>0.36061002498157957</v>
      </c>
      <c r="N13" s="40">
        <f>1/(1.12)^N7</f>
        <v>0.32197323659069599</v>
      </c>
      <c r="O13" s="40">
        <f>1/(1.12)^O7</f>
        <v>0.28747610409883567</v>
      </c>
      <c r="P13" s="36"/>
      <c r="Q13" s="36"/>
      <c r="R13" s="36"/>
      <c r="S13" s="36"/>
    </row>
    <row r="14" spans="3:19" x14ac:dyDescent="0.3">
      <c r="D14" t="s">
        <v>70</v>
      </c>
      <c r="E14" s="35">
        <f>E12*E13</f>
        <v>49.107142857142854</v>
      </c>
      <c r="F14">
        <f>F12*F13</f>
        <v>48.230229591836739</v>
      </c>
      <c r="G14">
        <f t="shared" ref="G14:L14" si="5">G12*G13</f>
        <v>47.368975491982503</v>
      </c>
      <c r="H14">
        <f>H12*H13</f>
        <v>46.523100929625677</v>
      </c>
      <c r="I14">
        <f t="shared" si="5"/>
        <v>45.692331270168069</v>
      </c>
      <c r="J14">
        <f t="shared" si="5"/>
        <v>43.244527809266209</v>
      </c>
      <c r="K14">
        <f t="shared" si="5"/>
        <v>40.927856676626945</v>
      </c>
      <c r="L14">
        <f t="shared" si="5"/>
        <v>38.735292926093358</v>
      </c>
      <c r="M14">
        <f>M12*M13</f>
        <v>36.66018794790979</v>
      </c>
      <c r="N14">
        <f>N12*N13</f>
        <v>34.696249307843196</v>
      </c>
      <c r="O14">
        <f>O12*O13</f>
        <v>32.21794578585439</v>
      </c>
      <c r="P14" s="36"/>
      <c r="Q14" s="36"/>
      <c r="R14" s="36"/>
      <c r="S14" s="36"/>
    </row>
    <row r="15" spans="3:19" x14ac:dyDescent="0.3">
      <c r="C15" t="s">
        <v>71</v>
      </c>
      <c r="D15" t="s">
        <v>72</v>
      </c>
      <c r="E15" s="35">
        <f>SUM(E14:I14)</f>
        <v>236.92178014075586</v>
      </c>
      <c r="G15" s="36"/>
      <c r="J15" s="35">
        <f>SUM(J14:N14)+E15</f>
        <v>431.18589480849539</v>
      </c>
    </row>
    <row r="16" spans="3:19" x14ac:dyDescent="0.3">
      <c r="E16" t="s">
        <v>73</v>
      </c>
      <c r="F16" s="36">
        <f>F18+E15</f>
        <v>1044.1529659137252</v>
      </c>
      <c r="I16" t="s">
        <v>74</v>
      </c>
      <c r="J16" s="36">
        <f>J18+J15</f>
        <v>882.23713581045695</v>
      </c>
    </row>
    <row r="17" spans="5:17" x14ac:dyDescent="0.3">
      <c r="F17" s="39">
        <f>J12/(0.12-0.06)</f>
        <v>1422.6171666666671</v>
      </c>
      <c r="J17" s="39">
        <f>O12/(0.12-0.04)</f>
        <v>1400.8966887373754</v>
      </c>
    </row>
    <row r="18" spans="5:17" x14ac:dyDescent="0.3">
      <c r="F18" s="41">
        <f>I13*F17</f>
        <v>807.2311857729693</v>
      </c>
      <c r="J18" s="41">
        <f>J17*N13</f>
        <v>451.05124100196156</v>
      </c>
    </row>
    <row r="25" spans="5:17" x14ac:dyDescent="0.3">
      <c r="E25" s="44"/>
      <c r="F25" s="44"/>
      <c r="G25" s="44"/>
      <c r="H25" s="44"/>
      <c r="I25" s="44"/>
      <c r="J25" s="37"/>
    </row>
    <row r="26" spans="5:17" x14ac:dyDescent="0.3">
      <c r="Q26" s="37"/>
    </row>
    <row r="36" spans="6:11" x14ac:dyDescent="0.3">
      <c r="F36" s="40"/>
      <c r="G36" s="40"/>
      <c r="H36" s="40"/>
      <c r="I36" s="40"/>
      <c r="J36" s="40"/>
      <c r="K36" s="40"/>
    </row>
    <row r="37" spans="6:11" x14ac:dyDescent="0.3">
      <c r="F37" s="35"/>
    </row>
  </sheetData>
  <mergeCells count="2">
    <mergeCell ref="E6:I6"/>
    <mergeCell ref="E25:I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C2A-0AB2-4576-A481-A2E9A23FFC33}">
  <dimension ref="C6:U37"/>
  <sheetViews>
    <sheetView tabSelected="1" topLeftCell="C6" zoomScale="87" workbookViewId="0">
      <selection activeCell="K23" sqref="K23"/>
    </sheetView>
  </sheetViews>
  <sheetFormatPr defaultRowHeight="14.4" x14ac:dyDescent="0.3"/>
  <cols>
    <col min="3" max="3" width="17.6640625" bestFit="1" customWidth="1"/>
    <col min="4" max="4" width="27.5546875" customWidth="1"/>
    <col min="5" max="5" width="13.6640625" bestFit="1" customWidth="1"/>
    <col min="6" max="6" width="12.6640625" bestFit="1" customWidth="1"/>
    <col min="7" max="8" width="9.5546875" bestFit="1" customWidth="1"/>
    <col min="9" max="9" width="12" bestFit="1" customWidth="1"/>
    <col min="10" max="12" width="13.44140625" bestFit="1" customWidth="1"/>
    <col min="13" max="13" width="12.109375" bestFit="1" customWidth="1"/>
    <col min="14" max="14" width="13.44140625" bestFit="1" customWidth="1"/>
  </cols>
  <sheetData>
    <row r="6" spans="3:21" x14ac:dyDescent="0.3">
      <c r="D6" t="s">
        <v>68</v>
      </c>
      <c r="E6" s="43" t="s">
        <v>67</v>
      </c>
      <c r="F6" s="43"/>
      <c r="G6" s="43"/>
      <c r="H6" s="43"/>
      <c r="I6" s="43"/>
      <c r="J6" s="37">
        <v>0.06</v>
      </c>
      <c r="N6" s="37">
        <v>0.06</v>
      </c>
      <c r="R6" s="37">
        <v>0.06</v>
      </c>
    </row>
    <row r="7" spans="3:21" x14ac:dyDescent="0.3">
      <c r="E7">
        <v>1</v>
      </c>
      <c r="F7">
        <v>2</v>
      </c>
      <c r="G7">
        <v>3</v>
      </c>
      <c r="H7">
        <v>4</v>
      </c>
      <c r="I7">
        <v>5</v>
      </c>
      <c r="J7">
        <v>6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</row>
    <row r="8" spans="3:21" x14ac:dyDescent="0.3">
      <c r="D8" t="s">
        <v>55</v>
      </c>
      <c r="E8" s="36">
        <v>100</v>
      </c>
      <c r="F8" s="36">
        <f>E8*1.1</f>
        <v>110.00000000000001</v>
      </c>
      <c r="G8" s="36">
        <f t="shared" ref="G8:I8" si="0">F8*1.1</f>
        <v>121.00000000000003</v>
      </c>
      <c r="H8" s="36">
        <f t="shared" si="0"/>
        <v>133.10000000000005</v>
      </c>
      <c r="I8" s="36">
        <f t="shared" si="0"/>
        <v>146.41000000000008</v>
      </c>
      <c r="J8" s="36">
        <f>I8*1.06</f>
        <v>155.19460000000009</v>
      </c>
      <c r="K8" s="36">
        <f>J8*1.06</f>
        <v>164.5062760000001</v>
      </c>
      <c r="L8" s="36">
        <f t="shared" ref="L8:O12" si="1">K8*1.06</f>
        <v>174.37665256000011</v>
      </c>
      <c r="M8" s="36">
        <f t="shared" si="1"/>
        <v>184.83925171360013</v>
      </c>
      <c r="N8" s="36">
        <f t="shared" si="1"/>
        <v>195.92960681641614</v>
      </c>
      <c r="O8" s="36">
        <f>N8*1.06</f>
        <v>207.68538322540113</v>
      </c>
      <c r="P8" s="36">
        <f t="shared" ref="P8:P12" si="2">O8*1.06</f>
        <v>220.1465062189252</v>
      </c>
      <c r="Q8" s="36">
        <f t="shared" ref="Q8:Q12" si="3">P8*1.06</f>
        <v>233.35529659206071</v>
      </c>
      <c r="R8" s="36">
        <f t="shared" ref="R8:S12" si="4">Q8*1.06</f>
        <v>247.35661438758436</v>
      </c>
      <c r="S8" s="36">
        <f t="shared" si="4"/>
        <v>262.19801125083944</v>
      </c>
      <c r="T8" s="36">
        <f t="shared" ref="T8:T12" si="5">S8*1.06</f>
        <v>277.92989192588982</v>
      </c>
      <c r="U8" s="36"/>
    </row>
    <row r="9" spans="3:21" x14ac:dyDescent="0.3">
      <c r="D9" t="s">
        <v>65</v>
      </c>
      <c r="E9" s="36">
        <v>25</v>
      </c>
      <c r="F9" s="36">
        <f t="shared" ref="F9:I12" si="6">E9*1.1</f>
        <v>27.500000000000004</v>
      </c>
      <c r="G9" s="36">
        <f t="shared" si="6"/>
        <v>30.250000000000007</v>
      </c>
      <c r="H9" s="36">
        <f t="shared" si="6"/>
        <v>33.275000000000013</v>
      </c>
      <c r="I9" s="36">
        <f t="shared" si="6"/>
        <v>36.60250000000002</v>
      </c>
      <c r="J9" s="36">
        <f t="shared" ref="J9:N12" si="7">I9*1.06</f>
        <v>38.798650000000023</v>
      </c>
      <c r="K9" s="36">
        <f t="shared" si="7"/>
        <v>41.126569000000025</v>
      </c>
      <c r="L9" s="36">
        <f t="shared" si="7"/>
        <v>43.594163140000028</v>
      </c>
      <c r="M9" s="36">
        <f t="shared" si="7"/>
        <v>46.209812928400034</v>
      </c>
      <c r="N9" s="36">
        <f t="shared" si="7"/>
        <v>48.982401704104035</v>
      </c>
      <c r="O9" s="36">
        <f t="shared" si="1"/>
        <v>51.921345806350281</v>
      </c>
      <c r="P9" s="36">
        <f t="shared" si="2"/>
        <v>55.036626554731299</v>
      </c>
      <c r="Q9" s="36">
        <f t="shared" si="3"/>
        <v>58.338824148015178</v>
      </c>
      <c r="R9" s="36">
        <f t="shared" si="4"/>
        <v>61.839153596896089</v>
      </c>
      <c r="S9" s="36">
        <f t="shared" si="4"/>
        <v>65.549502812709861</v>
      </c>
      <c r="T9" s="36">
        <f t="shared" si="5"/>
        <v>69.482472981472455</v>
      </c>
      <c r="U9" s="36"/>
    </row>
    <row r="10" spans="3:21" x14ac:dyDescent="0.3">
      <c r="D10" t="s">
        <v>4</v>
      </c>
      <c r="E10" s="36">
        <v>65</v>
      </c>
      <c r="F10" s="36">
        <f t="shared" si="6"/>
        <v>71.5</v>
      </c>
      <c r="G10" s="36">
        <f t="shared" si="6"/>
        <v>78.650000000000006</v>
      </c>
      <c r="H10" s="36">
        <f t="shared" si="6"/>
        <v>86.515000000000015</v>
      </c>
      <c r="I10" s="36">
        <f t="shared" si="6"/>
        <v>95.166500000000028</v>
      </c>
      <c r="J10" s="36">
        <f t="shared" si="7"/>
        <v>100.87649000000003</v>
      </c>
      <c r="K10" s="36">
        <f t="shared" si="7"/>
        <v>106.92907940000003</v>
      </c>
      <c r="L10" s="36">
        <f t="shared" si="7"/>
        <v>113.34482416400004</v>
      </c>
      <c r="M10" s="36">
        <f t="shared" si="7"/>
        <v>120.14551361384005</v>
      </c>
      <c r="N10" s="36">
        <f t="shared" si="7"/>
        <v>127.35424443067046</v>
      </c>
      <c r="O10" s="36">
        <f t="shared" si="1"/>
        <v>134.99549909651068</v>
      </c>
      <c r="P10" s="36">
        <f t="shared" si="2"/>
        <v>143.09522904230133</v>
      </c>
      <c r="Q10" s="36">
        <f t="shared" si="3"/>
        <v>151.6809427848394</v>
      </c>
      <c r="R10" s="36">
        <f t="shared" si="4"/>
        <v>160.78179935192978</v>
      </c>
      <c r="S10" s="36">
        <f t="shared" si="4"/>
        <v>170.42870731304558</v>
      </c>
      <c r="T10" s="36">
        <f t="shared" si="5"/>
        <v>180.65442975182833</v>
      </c>
      <c r="U10" s="36"/>
    </row>
    <row r="11" spans="3:21" x14ac:dyDescent="0.3">
      <c r="D11" t="s">
        <v>66</v>
      </c>
      <c r="E11" s="36">
        <v>5</v>
      </c>
      <c r="F11" s="36">
        <f t="shared" si="6"/>
        <v>5.5</v>
      </c>
      <c r="G11" s="36">
        <f t="shared" si="6"/>
        <v>6.0500000000000007</v>
      </c>
      <c r="H11" s="36">
        <f t="shared" si="6"/>
        <v>6.6550000000000011</v>
      </c>
      <c r="I11" s="36">
        <f t="shared" si="6"/>
        <v>7.3205000000000018</v>
      </c>
      <c r="J11" s="36">
        <f t="shared" si="7"/>
        <v>7.759730000000002</v>
      </c>
      <c r="K11" s="36">
        <f t="shared" si="7"/>
        <v>8.2253138000000021</v>
      </c>
      <c r="L11" s="36">
        <f t="shared" si="7"/>
        <v>8.718832628000003</v>
      </c>
      <c r="M11" s="36">
        <f t="shared" si="7"/>
        <v>9.2419625856800032</v>
      </c>
      <c r="N11" s="36">
        <f t="shared" si="7"/>
        <v>9.7964803408208034</v>
      </c>
      <c r="O11" s="36">
        <f t="shared" si="1"/>
        <v>10.384269161270051</v>
      </c>
      <c r="P11" s="36">
        <f t="shared" si="2"/>
        <v>11.007325310946255</v>
      </c>
      <c r="Q11" s="36">
        <f t="shared" si="3"/>
        <v>11.667764829603032</v>
      </c>
      <c r="R11" s="36">
        <f t="shared" si="4"/>
        <v>12.367830719379214</v>
      </c>
      <c r="S11" s="36">
        <f t="shared" si="4"/>
        <v>13.109900562541966</v>
      </c>
      <c r="T11" s="36">
        <f t="shared" si="5"/>
        <v>13.896494596294485</v>
      </c>
      <c r="U11" s="36"/>
    </row>
    <row r="12" spans="3:21" x14ac:dyDescent="0.3">
      <c r="D12" t="s">
        <v>54</v>
      </c>
      <c r="E12" s="38">
        <v>55</v>
      </c>
      <c r="F12" s="38">
        <f t="shared" si="6"/>
        <v>60.500000000000007</v>
      </c>
      <c r="G12" s="38">
        <f t="shared" si="6"/>
        <v>66.550000000000011</v>
      </c>
      <c r="H12" s="38">
        <f t="shared" si="6"/>
        <v>73.205000000000013</v>
      </c>
      <c r="I12" s="38">
        <f>H12*1.1</f>
        <v>80.525500000000022</v>
      </c>
      <c r="J12" s="39">
        <f>I12*1.06</f>
        <v>85.357030000000023</v>
      </c>
      <c r="K12" s="39">
        <f>J12*1.06</f>
        <v>90.47845180000003</v>
      </c>
      <c r="L12" s="39">
        <f t="shared" si="7"/>
        <v>95.907158908000042</v>
      </c>
      <c r="M12" s="39">
        <f t="shared" si="7"/>
        <v>101.66158844248005</v>
      </c>
      <c r="N12" s="39">
        <f t="shared" si="7"/>
        <v>107.76128374902886</v>
      </c>
      <c r="O12" s="39">
        <f t="shared" si="1"/>
        <v>114.2269607739706</v>
      </c>
      <c r="P12" s="39">
        <f t="shared" si="2"/>
        <v>121.08057842040884</v>
      </c>
      <c r="Q12" s="39">
        <f t="shared" si="3"/>
        <v>128.34541312563337</v>
      </c>
      <c r="R12" s="39">
        <f t="shared" si="4"/>
        <v>136.04613791317138</v>
      </c>
      <c r="S12" s="39">
        <f t="shared" si="4"/>
        <v>144.20890618796167</v>
      </c>
      <c r="T12" s="39">
        <f t="shared" si="5"/>
        <v>152.86144055923938</v>
      </c>
      <c r="U12" s="36"/>
    </row>
    <row r="13" spans="3:21" x14ac:dyDescent="0.3">
      <c r="D13" t="s">
        <v>69</v>
      </c>
      <c r="E13" s="40">
        <f>1/(1.12)^E7</f>
        <v>0.89285714285714279</v>
      </c>
      <c r="F13" s="40">
        <f>1/(1.12)^F7</f>
        <v>0.79719387755102034</v>
      </c>
      <c r="G13" s="40">
        <f t="shared" ref="G13:K13" si="8">1/(1.12)^G7</f>
        <v>0.71178024781341087</v>
      </c>
      <c r="H13" s="40">
        <f t="shared" si="8"/>
        <v>0.63551807840483121</v>
      </c>
      <c r="I13" s="40">
        <f t="shared" si="8"/>
        <v>0.56742685571859919</v>
      </c>
      <c r="J13" s="40">
        <f>1/(1.12)^J7</f>
        <v>0.50663112117732068</v>
      </c>
      <c r="K13" s="40">
        <f t="shared" si="8"/>
        <v>0.45234921533689343</v>
      </c>
      <c r="L13" s="40">
        <f>1/(1.12)^L7</f>
        <v>0.4038832279793691</v>
      </c>
      <c r="M13" s="40">
        <f>1/(1.12)^M7</f>
        <v>0.36061002498157957</v>
      </c>
      <c r="N13" s="40">
        <f>1/(1.12)^N7</f>
        <v>0.32197323659069599</v>
      </c>
      <c r="O13" s="40">
        <f t="shared" ref="O13:S13" si="9">1/(1.12)^O7</f>
        <v>0.28747610409883567</v>
      </c>
      <c r="P13" s="40">
        <f t="shared" si="9"/>
        <v>0.25667509294538904</v>
      </c>
      <c r="Q13" s="40">
        <f t="shared" si="9"/>
        <v>0.22917419012981158</v>
      </c>
      <c r="R13" s="40">
        <f t="shared" si="9"/>
        <v>0.20461981261590317</v>
      </c>
      <c r="S13" s="40">
        <f t="shared" si="9"/>
        <v>0.18269626126419927</v>
      </c>
      <c r="T13" s="40"/>
      <c r="U13" s="40"/>
    </row>
    <row r="14" spans="3:21" x14ac:dyDescent="0.3">
      <c r="D14" t="s">
        <v>70</v>
      </c>
      <c r="E14" s="35">
        <f>E12*E13</f>
        <v>49.107142857142854</v>
      </c>
      <c r="F14">
        <f>F12*F13</f>
        <v>48.230229591836739</v>
      </c>
      <c r="G14">
        <f t="shared" ref="G14:L14" si="10">G12*G13</f>
        <v>47.368975491982503</v>
      </c>
      <c r="H14">
        <f>H12*H13</f>
        <v>46.523100929625677</v>
      </c>
      <c r="I14">
        <f t="shared" si="10"/>
        <v>45.692331270168069</v>
      </c>
      <c r="J14">
        <f t="shared" si="10"/>
        <v>43.244527809266209</v>
      </c>
      <c r="K14">
        <f t="shared" si="10"/>
        <v>40.927856676626945</v>
      </c>
      <c r="L14">
        <f t="shared" si="10"/>
        <v>38.735292926093358</v>
      </c>
      <c r="M14">
        <f>M12*M13</f>
        <v>36.66018794790979</v>
      </c>
      <c r="N14">
        <f>N12*N13</f>
        <v>34.696249307843196</v>
      </c>
      <c r="O14">
        <f t="shared" ref="O14:S14" si="11">O12*O13</f>
        <v>32.837521666351591</v>
      </c>
      <c r="P14">
        <f t="shared" si="11"/>
        <v>31.078368719939906</v>
      </c>
      <c r="Q14">
        <f t="shared" si="11"/>
        <v>29.413456109943116</v>
      </c>
      <c r="R14">
        <f t="shared" si="11"/>
        <v>27.837735246910448</v>
      </c>
      <c r="S14">
        <f t="shared" si="11"/>
        <v>26.34642800154025</v>
      </c>
    </row>
    <row r="15" spans="3:21" x14ac:dyDescent="0.3">
      <c r="C15" t="s">
        <v>71</v>
      </c>
      <c r="D15" t="s">
        <v>72</v>
      </c>
      <c r="E15" s="35">
        <f>SUM(E14:I14)</f>
        <v>236.92178014075586</v>
      </c>
      <c r="G15" s="36"/>
      <c r="J15" s="35">
        <f>SUM(J14:N14)+E15</f>
        <v>431.18589480849539</v>
      </c>
      <c r="N15" s="36">
        <f>SUM(O14:S14)+J15</f>
        <v>578.69940455318067</v>
      </c>
    </row>
    <row r="16" spans="3:21" x14ac:dyDescent="0.3">
      <c r="E16" t="s">
        <v>73</v>
      </c>
      <c r="F16" s="36">
        <f>F18+E15</f>
        <v>1044.1529659137252</v>
      </c>
      <c r="I16" t="s">
        <v>74</v>
      </c>
      <c r="J16" s="36">
        <f>J18+J15</f>
        <v>1044.1529659137252</v>
      </c>
      <c r="M16" t="s">
        <v>73</v>
      </c>
      <c r="N16" s="36">
        <f>N15+N18</f>
        <v>1044.152965913725</v>
      </c>
    </row>
    <row r="17" spans="5:17" x14ac:dyDescent="0.3">
      <c r="F17" s="39">
        <f>J12/(0.12-0.06)</f>
        <v>1422.6171666666671</v>
      </c>
      <c r="J17" s="39">
        <f>O12/(0.12-0.06)</f>
        <v>1903.7826795661767</v>
      </c>
      <c r="N17" s="39">
        <f>T12/(0.12-0.06)</f>
        <v>2547.6906759873232</v>
      </c>
    </row>
    <row r="18" spans="5:17" x14ac:dyDescent="0.3">
      <c r="F18" s="41">
        <f>I13*F17</f>
        <v>807.2311857729693</v>
      </c>
      <c r="J18" s="41">
        <f>J17*N13</f>
        <v>612.96707110522982</v>
      </c>
      <c r="N18" s="41">
        <f>N17*S13</f>
        <v>465.45356136054443</v>
      </c>
    </row>
    <row r="22" spans="5:17" x14ac:dyDescent="0.3">
      <c r="E22" s="36"/>
      <c r="F22" s="36"/>
      <c r="H22" s="36"/>
      <c r="I22" s="36"/>
    </row>
    <row r="23" spans="5:17" x14ac:dyDescent="0.3">
      <c r="E23" s="36"/>
      <c r="F23" s="36"/>
      <c r="H23" s="36"/>
      <c r="I23" s="36"/>
    </row>
    <row r="24" spans="5:17" x14ac:dyDescent="0.3">
      <c r="E24" s="36"/>
      <c r="F24" s="36"/>
      <c r="H24" s="36"/>
      <c r="I24" s="36"/>
      <c r="L24" s="36"/>
      <c r="M24" s="36"/>
    </row>
    <row r="25" spans="5:17" x14ac:dyDescent="0.3">
      <c r="E25" s="45"/>
      <c r="F25" s="45"/>
      <c r="G25" s="43"/>
      <c r="H25" s="45"/>
      <c r="I25" s="45"/>
      <c r="J25" s="37"/>
      <c r="L25" s="36"/>
      <c r="M25" s="36"/>
    </row>
    <row r="26" spans="5:17" x14ac:dyDescent="0.3">
      <c r="E26" s="36"/>
      <c r="F26" s="36"/>
      <c r="H26" s="36"/>
      <c r="I26" s="36"/>
      <c r="L26" s="36"/>
      <c r="M26" s="36"/>
      <c r="Q26" s="37"/>
    </row>
    <row r="27" spans="5:17" x14ac:dyDescent="0.3">
      <c r="E27" s="40"/>
      <c r="F27" s="40"/>
      <c r="H27" s="40"/>
      <c r="I27" s="40"/>
      <c r="L27" s="36"/>
      <c r="M27" s="36"/>
    </row>
    <row r="28" spans="5:17" x14ac:dyDescent="0.3">
      <c r="E28" s="35"/>
      <c r="H28" s="35"/>
      <c r="L28" s="46"/>
      <c r="M28" s="46"/>
    </row>
    <row r="29" spans="5:17" x14ac:dyDescent="0.3">
      <c r="L29" s="40"/>
      <c r="M29" s="40"/>
    </row>
    <row r="30" spans="5:17" x14ac:dyDescent="0.3">
      <c r="L30" s="35"/>
    </row>
    <row r="31" spans="5:17" x14ac:dyDescent="0.3">
      <c r="L31" s="35"/>
    </row>
    <row r="32" spans="5:17" x14ac:dyDescent="0.3">
      <c r="M32" s="35"/>
    </row>
    <row r="36" spans="6:11" x14ac:dyDescent="0.3">
      <c r="F36" s="40"/>
      <c r="G36" s="40"/>
      <c r="H36" s="40"/>
      <c r="I36" s="40"/>
      <c r="J36" s="40"/>
      <c r="K36" s="40"/>
    </row>
    <row r="37" spans="6:11" x14ac:dyDescent="0.3">
      <c r="F37" s="35"/>
    </row>
  </sheetData>
  <mergeCells count="2">
    <mergeCell ref="E6:I6"/>
    <mergeCell ref="E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goverthanan l</dc:creator>
  <cp:lastModifiedBy>Sumiran Gurung</cp:lastModifiedBy>
  <dcterms:created xsi:type="dcterms:W3CDTF">2024-09-09T04:15:29Z</dcterms:created>
  <dcterms:modified xsi:type="dcterms:W3CDTF">2026-02-21T16:18:35Z</dcterms:modified>
</cp:coreProperties>
</file>