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BA 1\MBA -2nd - Sem\MBA-Financial Modelling\"/>
    </mc:Choice>
  </mc:AlternateContent>
  <xr:revisionPtr revIDLastSave="0" documentId="13_ncr:1_{BC44E957-9C3C-4A23-A5C6-10F42D79FDE7}" xr6:coauthVersionLast="47" xr6:coauthVersionMax="47" xr10:uidLastSave="{00000000-0000-0000-0000-000000000000}"/>
  <bookViews>
    <workbookView xWindow="-108" yWindow="-108" windowWidth="23256" windowHeight="12456" xr2:uid="{70223361-87A3-4FEC-BB56-8CF6719D40F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I3" i="1"/>
  <c r="I8" i="1"/>
  <c r="C5" i="1"/>
  <c r="C4" i="1"/>
  <c r="D4" i="1"/>
  <c r="E3" i="1"/>
  <c r="H7" i="1"/>
  <c r="C6" i="1"/>
  <c r="C7" i="1"/>
  <c r="H4" i="1"/>
  <c r="I4" i="1" s="1"/>
  <c r="H5" i="1"/>
  <c r="H6" i="1"/>
  <c r="D3" i="1"/>
  <c r="G3" i="1"/>
  <c r="I9" i="1" a="1"/>
  <c r="G9" i="1" a="1"/>
  <c r="I9" i="1" l="1"/>
  <c r="F3" i="1"/>
  <c r="G9" i="1"/>
  <c r="F9" i="1"/>
  <c r="D5" i="1" l="1"/>
  <c r="I5" i="1" s="1"/>
  <c r="D7" i="1"/>
  <c r="I7" i="1" s="1"/>
  <c r="D6" i="1"/>
  <c r="I6" i="1" s="1"/>
  <c r="E4" i="1"/>
  <c r="F4" i="1" s="1"/>
  <c r="F8" i="1" s="1"/>
  <c r="E5" i="1"/>
  <c r="F5" i="1" s="1"/>
  <c r="E6" i="1"/>
  <c r="F6" i="1" s="1"/>
  <c r="E7" i="1"/>
  <c r="F7" i="1" s="1"/>
  <c r="G6" i="1" l="1"/>
  <c r="G7" i="1"/>
  <c r="G5" i="1"/>
  <c r="G4" i="1"/>
  <c r="G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<sst xmlns="http://schemas.openxmlformats.org/spreadsheetml/2006/main" count="14" uniqueCount="12">
  <si>
    <t>year</t>
  </si>
  <si>
    <t>Annuity</t>
  </si>
  <si>
    <t>PV Factor</t>
  </si>
  <si>
    <t>Interest</t>
  </si>
  <si>
    <t>Normal</t>
  </si>
  <si>
    <t>Growing</t>
  </si>
  <si>
    <t>Growing Annuity</t>
  </si>
  <si>
    <t>NV</t>
  </si>
  <si>
    <t>PV</t>
  </si>
  <si>
    <t>Growing=5%</t>
  </si>
  <si>
    <t>FV</t>
  </si>
  <si>
    <t>FV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</si>
</sst>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₹&quot;\ #,##0.00;[Red]&quot;₹&quot;\ \-#,##0.00"/>
    <numFmt numFmtId="164" formatCode="#,##0.0000000_ ;[Red]\-#,##0.0000000\ "/>
    <numFmt numFmtId="165" formatCode="#,##0.00_ ;[Red]\-#,##0.00\ "/>
    <numFmt numFmtId="166" formatCode="0.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8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144780</xdr:colOff>
      <xdr:row>12</xdr:row>
      <xdr:rowOff>41910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6A758C-62D1-BDFC-33FD-B22FD28CD2E0}"/>
            </a:ext>
          </a:extLst>
        </xdr:cNvPr>
        <xdr:cNvSpPr txBox="1"/>
      </xdr:nvSpPr>
      <xdr:spPr>
        <a:xfrm>
          <a:off x="6629400" y="22364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IN" sz="1100"/>
        </a:p>
      </xdr:txBody>
    </xdr:sp>
    <xdr:clientData/>
  </xdr:oneCellAnchor>
  <xdr:twoCellAnchor editAs="oneCell">
    <xdr:from>
      <xdr:col>12</xdr:col>
      <xdr:colOff>7620</xdr:colOff>
      <xdr:row>1</xdr:row>
      <xdr:rowOff>22860</xdr:rowOff>
    </xdr:from>
    <xdr:to>
      <xdr:col>18</xdr:col>
      <xdr:colOff>320040</xdr:colOff>
      <xdr:row>16</xdr:row>
      <xdr:rowOff>179474</xdr:rowOff>
    </xdr:to>
    <xdr:pic>
      <xdr:nvPicPr>
        <xdr:cNvPr id="3" name="Picture 2" descr="Present Value of a Growing Annuity ...">
          <a:extLst>
            <a:ext uri="{FF2B5EF4-FFF2-40B4-BE49-F238E27FC236}">
              <a16:creationId xmlns:a16="http://schemas.microsoft.com/office/drawing/2014/main" id="{4E3EB23A-114B-F9F7-8266-92681E91A9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0560" y="205740"/>
          <a:ext cx="3970020" cy="28998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FC519-037C-48C7-8C2A-5E28A882428F}">
  <sheetPr codeName="Sheet1"/>
  <dimension ref="A1:I9"/>
  <sheetViews>
    <sheetView tabSelected="1" workbookViewId="0">
      <selection activeCell="H4" sqref="H4"/>
    </sheetView>
  </sheetViews>
  <sheetFormatPr defaultRowHeight="14.4" x14ac:dyDescent="0.3"/>
  <cols>
    <col min="3" max="3" width="11.5546875" customWidth="1"/>
    <col min="4" max="4" width="18" customWidth="1"/>
    <col min="5" max="5" width="11.109375" bestFit="1" customWidth="1"/>
    <col min="6" max="6" width="18" customWidth="1"/>
    <col min="7" max="7" width="11.44140625" bestFit="1" customWidth="1"/>
    <col min="8" max="8" width="11.44140625" customWidth="1"/>
    <col min="9" max="9" width="11" bestFit="1" customWidth="1"/>
  </cols>
  <sheetData>
    <row r="1" spans="1:9" x14ac:dyDescent="0.3">
      <c r="B1" t="s">
        <v>3</v>
      </c>
      <c r="D1" t="s">
        <v>7</v>
      </c>
      <c r="E1">
        <v>0.1</v>
      </c>
      <c r="F1" t="s">
        <v>8</v>
      </c>
      <c r="G1" t="s">
        <v>8</v>
      </c>
      <c r="I1" t="s">
        <v>10</v>
      </c>
    </row>
    <row r="2" spans="1:9" x14ac:dyDescent="0.3">
      <c r="A2" t="s">
        <v>0</v>
      </c>
      <c r="B2" t="s">
        <v>1</v>
      </c>
      <c r="C2" t="s">
        <v>9</v>
      </c>
      <c r="D2" t="s">
        <v>6</v>
      </c>
      <c r="E2" t="s">
        <v>2</v>
      </c>
      <c r="F2" t="s">
        <v>4</v>
      </c>
      <c r="G2" t="s">
        <v>5</v>
      </c>
      <c r="H2" t="s">
        <v>11</v>
      </c>
      <c r="I2" t="s">
        <v>5</v>
      </c>
    </row>
    <row r="3" spans="1:9" x14ac:dyDescent="0.3">
      <c r="A3">
        <v>1</v>
      </c>
      <c r="B3">
        <v>10000</v>
      </c>
      <c r="C3">
        <v>1</v>
      </c>
      <c r="D3">
        <f>B3*C3</f>
        <v>10000</v>
      </c>
      <c r="E3" s="2">
        <f>1/1.1^A3</f>
        <v>0.90909090909090906</v>
      </c>
      <c r="F3" s="3">
        <f>B3*E3</f>
        <v>9090.9090909090901</v>
      </c>
      <c r="G3" s="3">
        <f>D3*E3</f>
        <v>9090.9090909090901</v>
      </c>
      <c r="H3" s="3">
        <f>(1.1)^($A$7-A3)</f>
        <v>1.4641000000000004</v>
      </c>
      <c r="I3">
        <f>D3*H3</f>
        <v>14641.000000000004</v>
      </c>
    </row>
    <row r="4" spans="1:9" x14ac:dyDescent="0.3">
      <c r="A4">
        <v>2</v>
      </c>
      <c r="B4">
        <v>10000</v>
      </c>
      <c r="C4">
        <f>C3+0.05^A3</f>
        <v>1.05</v>
      </c>
      <c r="D4">
        <f>B4*C4</f>
        <v>10500</v>
      </c>
      <c r="E4" s="2">
        <f t="shared" ref="E4:E7" si="0">1/1.1^A4</f>
        <v>0.82644628099173545</v>
      </c>
      <c r="F4" s="3">
        <f t="shared" ref="F4:F7" si="1">B4*E4</f>
        <v>8264.4628099173551</v>
      </c>
      <c r="G4" s="3">
        <f t="shared" ref="G4:G7" si="2">D4*E4</f>
        <v>8677.6859504132226</v>
      </c>
      <c r="H4" s="3">
        <f t="shared" ref="H4:H7" si="3">(1.1)^($A$7-A4)</f>
        <v>1.3310000000000004</v>
      </c>
      <c r="I4">
        <f t="shared" ref="I4:I7" si="4">D4*H4</f>
        <v>13975.500000000004</v>
      </c>
    </row>
    <row r="5" spans="1:9" x14ac:dyDescent="0.3">
      <c r="A5">
        <v>3</v>
      </c>
      <c r="B5">
        <v>10000</v>
      </c>
      <c r="C5" s="5">
        <f>$C$4^A4</f>
        <v>1.1025</v>
      </c>
      <c r="D5">
        <f t="shared" ref="D5:D7" si="5">B5*C5</f>
        <v>11025</v>
      </c>
      <c r="E5" s="2">
        <f t="shared" si="0"/>
        <v>0.75131480090157754</v>
      </c>
      <c r="F5" s="3">
        <f t="shared" si="1"/>
        <v>7513.1480090157756</v>
      </c>
      <c r="G5" s="3">
        <f t="shared" si="2"/>
        <v>8283.2456799398915</v>
      </c>
      <c r="H5" s="3">
        <f t="shared" si="3"/>
        <v>1.2100000000000002</v>
      </c>
      <c r="I5">
        <f t="shared" si="4"/>
        <v>13340.250000000002</v>
      </c>
    </row>
    <row r="6" spans="1:9" x14ac:dyDescent="0.3">
      <c r="A6">
        <v>4</v>
      </c>
      <c r="B6">
        <v>10000</v>
      </c>
      <c r="C6" s="5">
        <f t="shared" ref="C6:C7" si="6">$C$4^A5</f>
        <v>1.1576250000000001</v>
      </c>
      <c r="D6">
        <f t="shared" si="5"/>
        <v>11576.250000000002</v>
      </c>
      <c r="E6" s="2">
        <f t="shared" si="0"/>
        <v>0.68301345536507052</v>
      </c>
      <c r="F6" s="3">
        <f t="shared" si="1"/>
        <v>6830.1345536507051</v>
      </c>
      <c r="G6" s="3">
        <f t="shared" si="2"/>
        <v>7906.7345126698992</v>
      </c>
      <c r="H6" s="3">
        <f t="shared" si="3"/>
        <v>1.1000000000000001</v>
      </c>
      <c r="I6">
        <f t="shared" si="4"/>
        <v>12733.875000000004</v>
      </c>
    </row>
    <row r="7" spans="1:9" x14ac:dyDescent="0.3">
      <c r="A7">
        <v>5</v>
      </c>
      <c r="B7">
        <v>10000</v>
      </c>
      <c r="C7" s="5">
        <f t="shared" si="6"/>
        <v>1.21550625</v>
      </c>
      <c r="D7">
        <f t="shared" si="5"/>
        <v>12155.0625</v>
      </c>
      <c r="E7" s="2">
        <f t="shared" si="0"/>
        <v>0.62092132305915493</v>
      </c>
      <c r="F7" s="3">
        <f t="shared" si="1"/>
        <v>6209.2132305915493</v>
      </c>
      <c r="G7" s="3">
        <f t="shared" si="2"/>
        <v>7547.3374893667196</v>
      </c>
      <c r="H7" s="3">
        <f>(1.1)^($A$7-A7)</f>
        <v>1</v>
      </c>
      <c r="I7">
        <f t="shared" si="4"/>
        <v>12155.0625</v>
      </c>
    </row>
    <row r="8" spans="1:9" x14ac:dyDescent="0.3">
      <c r="F8" s="3">
        <f>SUM(F3:F7)</f>
        <v>37907.867694084474</v>
      </c>
      <c r="G8" s="3">
        <f>SUM(G3:G7)</f>
        <v>41505.912723298825</v>
      </c>
      <c r="H8" s="3"/>
      <c r="I8">
        <f>SUM(I3:I7)</f>
        <v>66845.687500000015</v>
      </c>
    </row>
    <row r="9" spans="1:9" x14ac:dyDescent="0.3">
      <c r="F9" s="1">
        <f>PV(E1,A7,B3,,0)</f>
        <v>-37907.867694084503</v>
      </c>
      <c r="G9" s="4" cm="1">
        <f t="array" ref="G9">UGPVA(E1,A7,B3,,0,5%)</f>
        <v>41505.912723298847</v>
      </c>
      <c r="H9" s="3"/>
      <c r="I9" cm="1">
        <f t="array" ref="I9">PVGA(0.1,A7,B3,,0,0.05)</f>
        <v>66845.687500000044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Sumiran Gurung</dc:creator>
  <cp:lastModifiedBy>Sumiran Gurung</cp:lastModifiedBy>
  <dcterms:created xsi:type="dcterms:W3CDTF">2026-01-17T10:03:23Z</dcterms:created>
  <dcterms:modified xsi:type="dcterms:W3CDTF">2026-01-20T09:55:12Z</dcterms:modified>
</cp:coreProperties>
</file>