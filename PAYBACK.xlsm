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BA 1\MBA -2nd - Sem\MBA-Financial Modelling\"/>
    </mc:Choice>
  </mc:AlternateContent>
  <xr:revisionPtr revIDLastSave="0" documentId="13_ncr:1_{3D4955C5-46FF-4EB0-85BE-89E905C8A583}" xr6:coauthVersionLast="47" xr6:coauthVersionMax="47" xr10:uidLastSave="{00000000-0000-0000-0000-000000000000}"/>
  <bookViews>
    <workbookView xWindow="-108" yWindow="-108" windowWidth="23256" windowHeight="12456" activeTab="1" xr2:uid="{89066674-3087-4B24-88A8-B30061C0EE41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/>
  <c r="F3" i="2"/>
  <c r="G3" i="2"/>
  <c r="H3" i="2"/>
  <c r="I3" i="2"/>
  <c r="J3" i="2"/>
  <c r="K3" i="2"/>
  <c r="F2" i="2"/>
  <c r="G2" i="2"/>
  <c r="H2" i="2"/>
  <c r="I2" i="2"/>
  <c r="J2" i="2"/>
  <c r="K2" i="2"/>
  <c r="E2" i="2"/>
  <c r="B5" i="1"/>
  <c r="F11" i="2"/>
  <c r="G11" i="2"/>
  <c r="H11" i="2"/>
  <c r="I11" i="2"/>
  <c r="J11" i="2"/>
  <c r="K11" i="2"/>
  <c r="F12" i="2"/>
  <c r="G12" i="2"/>
  <c r="H12" i="2"/>
  <c r="I12" i="2"/>
  <c r="J12" i="2"/>
  <c r="K12" i="2"/>
  <c r="F13" i="2"/>
  <c r="G13" i="2"/>
  <c r="H13" i="2"/>
  <c r="I13" i="2"/>
  <c r="J13" i="2"/>
  <c r="K13" i="2"/>
  <c r="F14" i="2"/>
  <c r="G14" i="2"/>
  <c r="H14" i="2"/>
  <c r="I14" i="2"/>
  <c r="J14" i="2"/>
  <c r="K14" i="2"/>
  <c r="F15" i="2"/>
  <c r="G15" i="2"/>
  <c r="H15" i="2"/>
  <c r="I15" i="2"/>
  <c r="J15" i="2"/>
  <c r="K15" i="2"/>
  <c r="F16" i="2"/>
  <c r="G16" i="2"/>
  <c r="H16" i="2"/>
  <c r="I16" i="2"/>
  <c r="J16" i="2"/>
  <c r="K16" i="2"/>
  <c r="F17" i="2"/>
  <c r="G17" i="2"/>
  <c r="H17" i="2"/>
  <c r="I17" i="2"/>
  <c r="J17" i="2"/>
  <c r="K17" i="2"/>
  <c r="F18" i="2"/>
  <c r="G18" i="2"/>
  <c r="H18" i="2"/>
  <c r="I18" i="2"/>
  <c r="J18" i="2"/>
  <c r="K18" i="2"/>
  <c r="F19" i="2"/>
  <c r="G19" i="2"/>
  <c r="H19" i="2"/>
  <c r="I19" i="2"/>
  <c r="J19" i="2"/>
  <c r="K19" i="2"/>
  <c r="F20" i="2"/>
  <c r="G20" i="2"/>
  <c r="H20" i="2"/>
  <c r="I20" i="2"/>
  <c r="J20" i="2"/>
  <c r="K20" i="2"/>
  <c r="E11" i="2"/>
  <c r="E12" i="2"/>
  <c r="E13" i="2"/>
  <c r="E14" i="2"/>
  <c r="E15" i="2"/>
  <c r="E16" i="2"/>
  <c r="E17" i="2"/>
  <c r="E18" i="2"/>
  <c r="E19" i="2"/>
  <c r="E20" i="2"/>
  <c r="L24" i="2" a="1"/>
  <c r="L25" i="2" a="1"/>
  <c r="L26" i="2" a="1"/>
  <c r="L27" i="2" a="1"/>
  <c r="L23" i="2" a="1"/>
  <c r="I18" i="1" a="1"/>
  <c r="L6" i="2" a="1"/>
  <c r="I16" i="1" a="1"/>
  <c r="L7" i="2" a="1"/>
  <c r="L8" i="2" a="1"/>
  <c r="L9" i="2" a="1"/>
  <c r="L10" i="2" a="1"/>
  <c r="L16" i="2" a="1"/>
  <c r="L20" i="2" a="1"/>
  <c r="L15" i="2" a="1"/>
  <c r="L19" i="2" a="1"/>
  <c r="L13" i="2" a="1"/>
  <c r="L14" i="2" a="1"/>
  <c r="L17" i="2" a="1"/>
  <c r="L11" i="2" a="1"/>
  <c r="L12" i="2" a="1"/>
  <c r="L18" i="2" a="1"/>
  <c r="L27" i="2" l="1"/>
  <c r="L26" i="2"/>
  <c r="L25" i="2"/>
  <c r="L24" i="2"/>
  <c r="L23" i="2"/>
  <c r="I18" i="1"/>
  <c r="L6" i="2"/>
  <c r="I16" i="1"/>
  <c r="L18" i="2"/>
  <c r="L12" i="2"/>
  <c r="L17" i="2"/>
  <c r="L11" i="2"/>
  <c r="L16" i="2"/>
  <c r="L10" i="2"/>
  <c r="L15" i="2"/>
  <c r="L9" i="2"/>
  <c r="L20" i="2"/>
  <c r="L14" i="2"/>
  <c r="L8" i="2"/>
  <c r="L19" i="2"/>
  <c r="L13" i="2"/>
  <c r="L7" i="2"/>
  <c r="G3" i="1"/>
  <c r="I6" i="1"/>
  <c r="C5" i="1"/>
  <c r="C6" i="1" s="1"/>
  <c r="C7" i="1" s="1"/>
  <c r="C8" i="1" s="1"/>
  <c r="C9" i="1" s="1"/>
  <c r="C10" i="1" s="1"/>
  <c r="C11" i="1" s="1"/>
  <c r="C12" i="1" s="1"/>
  <c r="B6" i="1"/>
  <c r="B7" i="1"/>
  <c r="B8" i="1"/>
  <c r="B9" i="1"/>
  <c r="B10" i="1"/>
  <c r="B11" i="1"/>
  <c r="B12" i="1"/>
  <c r="G7" i="1"/>
  <c r="G8" i="1" s="1"/>
  <c r="G6" i="1"/>
  <c r="G5" i="1"/>
  <c r="H21" i="1" a="1"/>
  <c r="H21" i="1" l="1"/>
  <c r="I7" i="1"/>
  <c r="G9" i="1"/>
  <c r="G10" i="1" s="1"/>
  <c r="G11" i="1" s="1"/>
  <c r="G1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<sst xmlns="http://schemas.openxmlformats.org/spreadsheetml/2006/main" count="18" uniqueCount="12">
  <si>
    <t>Investment</t>
  </si>
  <si>
    <t>Year</t>
  </si>
  <si>
    <t>Cash Flow</t>
  </si>
  <si>
    <t>Cum</t>
  </si>
  <si>
    <t>Discounted pbp</t>
  </si>
  <si>
    <t>pbp</t>
  </si>
  <si>
    <t>Discounted_Cash Flow</t>
  </si>
  <si>
    <t>Project</t>
  </si>
  <si>
    <t>outflow</t>
  </si>
  <si>
    <t>Inflow</t>
  </si>
  <si>
    <t>Payback Period</t>
  </si>
  <si>
    <t>Discounted Payback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</si>
</sst>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0" borderId="0" xfId="0" applyNumberFormat="1"/>
    <xf numFmtId="0" fontId="0" fillId="3" borderId="0" xfId="0" applyFill="1"/>
    <xf numFmtId="1" fontId="0" fillId="2" borderId="1" xfId="0" applyNumberFormat="1" applyFill="1" applyBorder="1"/>
    <xf numFmtId="0" fontId="0" fillId="2" borderId="2" xfId="0" applyFill="1" applyBorder="1"/>
    <xf numFmtId="1" fontId="0" fillId="2" borderId="2" xfId="0" applyNumberFormat="1" applyFill="1" applyBorder="1"/>
    <xf numFmtId="0" fontId="0" fillId="2" borderId="3" xfId="0" applyFill="1" applyBorder="1"/>
    <xf numFmtId="1" fontId="0" fillId="0" borderId="0" xfId="0" applyNumberFormat="1"/>
    <xf numFmtId="0" fontId="0" fillId="4" borderId="0" xfId="0" applyFill="1"/>
    <xf numFmtId="164" fontId="0" fillId="0" borderId="0" xfId="0" applyNumberFormat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AB1B8-A6E6-4090-B9C6-080D6F0D5510}">
  <sheetPr codeName="Sheet1"/>
  <dimension ref="A2:L21"/>
  <sheetViews>
    <sheetView workbookViewId="0">
      <selection activeCell="I19" sqref="I19"/>
    </sheetView>
  </sheetViews>
  <sheetFormatPr defaultRowHeight="14.4" x14ac:dyDescent="0.3"/>
  <cols>
    <col min="2" max="2" width="24.21875" customWidth="1"/>
    <col min="3" max="4" width="17.21875" customWidth="1"/>
    <col min="6" max="6" width="18.44140625" customWidth="1"/>
    <col min="8" max="8" width="18.109375" customWidth="1"/>
  </cols>
  <sheetData>
    <row r="2" spans="1:12" x14ac:dyDescent="0.3">
      <c r="G2" s="3">
        <v>0.1</v>
      </c>
    </row>
    <row r="3" spans="1:12" x14ac:dyDescent="0.3">
      <c r="A3" s="12" t="s">
        <v>0</v>
      </c>
      <c r="B3" s="12"/>
      <c r="C3" s="1">
        <v>10000</v>
      </c>
      <c r="E3" s="1"/>
      <c r="F3" s="1" t="s">
        <v>0</v>
      </c>
      <c r="G3" s="1">
        <f>10000</f>
        <v>10000</v>
      </c>
    </row>
    <row r="4" spans="1:12" x14ac:dyDescent="0.3">
      <c r="A4" s="2" t="s">
        <v>1</v>
      </c>
      <c r="B4" s="2" t="s">
        <v>6</v>
      </c>
      <c r="C4" s="6" t="s">
        <v>3</v>
      </c>
      <c r="E4" s="8" t="s">
        <v>1</v>
      </c>
      <c r="F4" s="2" t="s">
        <v>2</v>
      </c>
      <c r="G4" s="2" t="s">
        <v>3</v>
      </c>
    </row>
    <row r="5" spans="1:12" x14ac:dyDescent="0.3">
      <c r="A5" s="2">
        <v>1</v>
      </c>
      <c r="B5" s="5">
        <f>F5/(1+$G$2)^E5</f>
        <v>90.909090909090907</v>
      </c>
      <c r="C5" s="7">
        <f>B5</f>
        <v>90.909090909090907</v>
      </c>
      <c r="D5" s="9"/>
      <c r="E5" s="8">
        <v>1</v>
      </c>
      <c r="F5" s="2">
        <v>100</v>
      </c>
      <c r="G5" s="2">
        <f>F5</f>
        <v>100</v>
      </c>
    </row>
    <row r="6" spans="1:12" x14ac:dyDescent="0.3">
      <c r="A6" s="2">
        <v>2</v>
      </c>
      <c r="B6" s="5">
        <f t="shared" ref="B6:B12" si="0">F6/(1+$G$2)^E6</f>
        <v>1652.8925619834708</v>
      </c>
      <c r="C6" s="7">
        <f>C5+B6</f>
        <v>1743.8016528925618</v>
      </c>
      <c r="D6" s="9"/>
      <c r="E6" s="8">
        <v>2</v>
      </c>
      <c r="F6" s="2">
        <v>2000</v>
      </c>
      <c r="G6" s="2">
        <f>G5+F6</f>
        <v>2100</v>
      </c>
      <c r="I6">
        <f>G3-I9</f>
        <v>10000</v>
      </c>
    </row>
    <row r="7" spans="1:12" x14ac:dyDescent="0.3">
      <c r="A7" s="2">
        <v>3</v>
      </c>
      <c r="B7" s="5">
        <f t="shared" si="0"/>
        <v>2253.9444027047325</v>
      </c>
      <c r="C7" s="7">
        <f t="shared" ref="C7:C12" si="1">C6+B7</f>
        <v>3997.7460555972943</v>
      </c>
      <c r="D7" s="9"/>
      <c r="E7" s="8">
        <v>3</v>
      </c>
      <c r="F7" s="2">
        <v>3000</v>
      </c>
      <c r="G7" s="2">
        <f t="shared" ref="G7:G12" si="2">G6+F7</f>
        <v>5100</v>
      </c>
      <c r="I7">
        <f>((G3-G8)/F9)*12</f>
        <v>6.6857142857142859</v>
      </c>
    </row>
    <row r="8" spans="1:12" x14ac:dyDescent="0.3">
      <c r="A8" s="2">
        <v>4</v>
      </c>
      <c r="B8" s="5">
        <f t="shared" si="0"/>
        <v>683.01345536507051</v>
      </c>
      <c r="C8" s="7">
        <f t="shared" si="1"/>
        <v>4680.7595109623653</v>
      </c>
      <c r="D8" s="9"/>
      <c r="E8" s="8">
        <v>4</v>
      </c>
      <c r="F8" s="2">
        <v>1000</v>
      </c>
      <c r="G8" s="2">
        <f t="shared" si="2"/>
        <v>6100</v>
      </c>
    </row>
    <row r="9" spans="1:12" x14ac:dyDescent="0.3">
      <c r="A9" s="2">
        <v>5</v>
      </c>
      <c r="B9" s="5">
        <f t="shared" si="0"/>
        <v>4346.4492614140845</v>
      </c>
      <c r="C9" s="7">
        <f t="shared" si="1"/>
        <v>9027.2087723764489</v>
      </c>
      <c r="D9" s="9"/>
      <c r="E9" s="8">
        <v>5</v>
      </c>
      <c r="F9" s="2">
        <v>7000</v>
      </c>
      <c r="G9" s="2">
        <f t="shared" si="2"/>
        <v>13100</v>
      </c>
    </row>
    <row r="10" spans="1:12" x14ac:dyDescent="0.3">
      <c r="A10" s="2">
        <v>6</v>
      </c>
      <c r="B10" s="5">
        <f t="shared" si="0"/>
        <v>395.13175103764399</v>
      </c>
      <c r="C10" s="7">
        <f t="shared" si="1"/>
        <v>9422.3405234140937</v>
      </c>
      <c r="D10" s="9"/>
      <c r="E10" s="8">
        <v>6</v>
      </c>
      <c r="F10" s="2">
        <v>700</v>
      </c>
      <c r="G10" s="2">
        <f t="shared" si="2"/>
        <v>13800</v>
      </c>
    </row>
    <row r="11" spans="1:12" x14ac:dyDescent="0.3">
      <c r="A11" s="2">
        <v>7</v>
      </c>
      <c r="B11" s="5">
        <f t="shared" si="0"/>
        <v>4618.4230640763581</v>
      </c>
      <c r="C11" s="7">
        <f t="shared" si="1"/>
        <v>14040.763587490452</v>
      </c>
      <c r="D11" s="9"/>
      <c r="E11" s="8">
        <v>7</v>
      </c>
      <c r="F11" s="2">
        <v>9000</v>
      </c>
      <c r="G11" s="2">
        <f t="shared" si="2"/>
        <v>22800</v>
      </c>
    </row>
    <row r="12" spans="1:12" x14ac:dyDescent="0.3">
      <c r="A12" s="2">
        <v>8</v>
      </c>
      <c r="B12" s="5">
        <f t="shared" si="0"/>
        <v>233.25369010486659</v>
      </c>
      <c r="C12" s="7">
        <f t="shared" si="1"/>
        <v>14274.017277595318</v>
      </c>
      <c r="D12" s="9"/>
      <c r="E12" s="8">
        <v>8</v>
      </c>
      <c r="F12" s="2">
        <v>500</v>
      </c>
      <c r="G12" s="2">
        <f t="shared" si="2"/>
        <v>23300</v>
      </c>
    </row>
    <row r="13" spans="1:12" x14ac:dyDescent="0.3">
      <c r="A13" s="1"/>
      <c r="B13" s="1"/>
      <c r="C13" s="1"/>
      <c r="E13" s="1"/>
      <c r="F13" s="1"/>
      <c r="G13" s="1"/>
    </row>
    <row r="16" spans="1:12" x14ac:dyDescent="0.3">
      <c r="H16" s="4" t="s">
        <v>5</v>
      </c>
      <c r="I16" s="4" t="str" cm="1">
        <f t="array" ref="I16">pbp(G3,F5:F12)</f>
        <v>Payback period is 4 Year(s) 6.69 Month(s)</v>
      </c>
      <c r="J16" s="4"/>
      <c r="K16" s="4"/>
      <c r="L16" s="4"/>
    </row>
    <row r="18" spans="8:12" x14ac:dyDescent="0.3">
      <c r="H18" s="4" t="s">
        <v>4</v>
      </c>
      <c r="I18" s="4" t="str" cm="1">
        <f t="array" ref="I18">Dpbp(G2%,G3,F5:F12)</f>
        <v>Payback period is 4 Year(s) 6.75 Month(s)</v>
      </c>
      <c r="J18" s="4"/>
      <c r="K18" s="4"/>
      <c r="L18" s="4"/>
    </row>
    <row r="21" spans="8:12" x14ac:dyDescent="0.3">
      <c r="H21" t="str" cm="1">
        <f t="array" ref="H21">pbp(G3,F5:F12)</f>
        <v>Payback period is 4 Year(s) 6.69 Month(s)</v>
      </c>
    </row>
  </sheetData>
  <mergeCells count="1">
    <mergeCell ref="A3:B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C597-7D58-4134-AFFE-8C95B3B3B35F}">
  <sheetPr codeName="Sheet2"/>
  <dimension ref="C1:L27"/>
  <sheetViews>
    <sheetView tabSelected="1" workbookViewId="0">
      <selection activeCell="O12" sqref="O12"/>
    </sheetView>
  </sheetViews>
  <sheetFormatPr defaultRowHeight="14.4" x14ac:dyDescent="0.3"/>
  <cols>
    <col min="5" max="11" width="9.5546875" bestFit="1" customWidth="1"/>
    <col min="12" max="12" width="35.6640625" customWidth="1"/>
    <col min="13" max="13" width="36.21875" customWidth="1"/>
  </cols>
  <sheetData>
    <row r="1" spans="3:12" x14ac:dyDescent="0.3">
      <c r="E1">
        <v>10</v>
      </c>
    </row>
    <row r="2" spans="3:12" x14ac:dyDescent="0.3">
      <c r="E2" s="11">
        <f>1/1.1^E4</f>
        <v>0.90909090909090906</v>
      </c>
      <c r="F2" s="11">
        <f t="shared" ref="F2:K2" si="0">1/1.1^F4</f>
        <v>0.82644628099173545</v>
      </c>
      <c r="G2" s="11">
        <f t="shared" si="0"/>
        <v>0.75131480090157754</v>
      </c>
      <c r="H2" s="11">
        <f t="shared" si="0"/>
        <v>0.68301345536507052</v>
      </c>
      <c r="I2" s="11">
        <f t="shared" si="0"/>
        <v>0.62092132305915493</v>
      </c>
      <c r="J2" s="11">
        <f t="shared" si="0"/>
        <v>0.56447393005377722</v>
      </c>
      <c r="K2" s="11">
        <f t="shared" si="0"/>
        <v>0.51315811823070645</v>
      </c>
    </row>
    <row r="3" spans="3:12" x14ac:dyDescent="0.3">
      <c r="E3">
        <f>E2*E6</f>
        <v>2409.090909090909</v>
      </c>
      <c r="F3">
        <f t="shared" ref="F3:K3" si="1">F2*F6</f>
        <v>1441.8414042756638</v>
      </c>
      <c r="G3">
        <f t="shared" si="1"/>
        <v>1149.2689215894902</v>
      </c>
      <c r="H3">
        <f t="shared" si="1"/>
        <v>872.36880099220093</v>
      </c>
      <c r="I3">
        <f t="shared" si="1"/>
        <v>1452.3415712810449</v>
      </c>
      <c r="J3">
        <f t="shared" si="1"/>
        <v>1141.6542198562076</v>
      </c>
      <c r="K3">
        <f t="shared" si="1"/>
        <v>1300.8563962720339</v>
      </c>
    </row>
    <row r="4" spans="3:12" x14ac:dyDescent="0.3">
      <c r="E4">
        <v>1</v>
      </c>
      <c r="F4">
        <v>2</v>
      </c>
      <c r="G4">
        <v>3</v>
      </c>
      <c r="H4">
        <v>4</v>
      </c>
      <c r="I4">
        <v>5</v>
      </c>
      <c r="J4">
        <v>6</v>
      </c>
      <c r="K4">
        <v>7</v>
      </c>
    </row>
    <row r="5" spans="3:12" x14ac:dyDescent="0.3">
      <c r="C5" t="s">
        <v>7</v>
      </c>
      <c r="D5" t="s">
        <v>8</v>
      </c>
      <c r="E5" s="12" t="s">
        <v>9</v>
      </c>
      <c r="F5" s="12"/>
      <c r="G5" s="12"/>
      <c r="H5" s="12"/>
      <c r="I5" s="12"/>
      <c r="J5" s="12"/>
      <c r="K5" s="12"/>
      <c r="L5" t="s">
        <v>10</v>
      </c>
    </row>
    <row r="6" spans="3:12" x14ac:dyDescent="0.3">
      <c r="C6">
        <v>1</v>
      </c>
      <c r="D6">
        <v>5000</v>
      </c>
      <c r="E6" s="10">
        <v>2650</v>
      </c>
      <c r="F6" s="10">
        <v>1744.6280991735534</v>
      </c>
      <c r="G6" s="10">
        <v>1529.6769346356118</v>
      </c>
      <c r="H6" s="10">
        <v>1277.2351615326818</v>
      </c>
      <c r="I6" s="10">
        <v>2339.0106239638367</v>
      </c>
      <c r="J6" s="10">
        <v>2022.5100913826839</v>
      </c>
      <c r="K6" s="10">
        <v>2535.0011040596901</v>
      </c>
      <c r="L6" s="10" t="str" cm="1">
        <f t="array" ref="L6">pbp(D6,E6:K6)</f>
        <v>Payback period is 2 Year(s) 4.75 Month(s)</v>
      </c>
    </row>
    <row r="7" spans="3:12" x14ac:dyDescent="0.3">
      <c r="C7">
        <v>2</v>
      </c>
      <c r="D7">
        <v>6000</v>
      </c>
      <c r="E7" s="10">
        <v>2330</v>
      </c>
      <c r="F7" s="10">
        <v>4803</v>
      </c>
      <c r="G7" s="10">
        <v>4463</v>
      </c>
      <c r="H7" s="10">
        <v>2547</v>
      </c>
      <c r="I7" s="10">
        <v>4595</v>
      </c>
      <c r="J7" s="10">
        <v>3061</v>
      </c>
      <c r="K7" s="10">
        <v>4778</v>
      </c>
      <c r="L7" s="10" t="str" cm="1">
        <f t="array" ref="L7">pbp(D7,E7:K7)</f>
        <v>Payback period is 1 Year(s) 9.17 Month(s)</v>
      </c>
    </row>
    <row r="8" spans="3:12" x14ac:dyDescent="0.3">
      <c r="C8">
        <v>3</v>
      </c>
      <c r="D8">
        <v>7000</v>
      </c>
      <c r="E8" s="10">
        <v>3602</v>
      </c>
      <c r="F8" s="10">
        <v>1604</v>
      </c>
      <c r="G8" s="10">
        <v>2709</v>
      </c>
      <c r="H8" s="10">
        <v>2243</v>
      </c>
      <c r="I8" s="10">
        <v>2814</v>
      </c>
      <c r="J8" s="10">
        <v>2343</v>
      </c>
      <c r="K8" s="10">
        <v>2759</v>
      </c>
      <c r="L8" s="10" t="str" cm="1">
        <f t="array" ref="L8">pbp(D8,E8:K8)</f>
        <v>Payback period is 2 Year(s) 7.95 Month(s)</v>
      </c>
    </row>
    <row r="9" spans="3:12" x14ac:dyDescent="0.3">
      <c r="C9">
        <v>4</v>
      </c>
      <c r="D9">
        <v>8000</v>
      </c>
      <c r="E9" s="10">
        <v>1578</v>
      </c>
      <c r="F9" s="10">
        <v>2185</v>
      </c>
      <c r="G9" s="10">
        <v>2254</v>
      </c>
      <c r="H9" s="10">
        <v>2915</v>
      </c>
      <c r="I9" s="10">
        <v>2074</v>
      </c>
      <c r="J9" s="10">
        <v>4359</v>
      </c>
      <c r="K9" s="10">
        <v>1785</v>
      </c>
      <c r="L9" s="10" t="str" cm="1">
        <f t="array" ref="L9">pbp(D9,E9:K9)</f>
        <v>Payback period is 3 Year(s) 8.16 Month(s)</v>
      </c>
    </row>
    <row r="10" spans="3:12" x14ac:dyDescent="0.3">
      <c r="C10">
        <v>5</v>
      </c>
      <c r="D10">
        <v>9000</v>
      </c>
      <c r="E10" s="10">
        <v>1991</v>
      </c>
      <c r="F10" s="10">
        <v>2626</v>
      </c>
      <c r="G10" s="10">
        <v>1531</v>
      </c>
      <c r="H10" s="10">
        <v>2583</v>
      </c>
      <c r="I10" s="10">
        <v>3188</v>
      </c>
      <c r="J10" s="10">
        <v>2477</v>
      </c>
      <c r="K10" s="10">
        <v>2822</v>
      </c>
      <c r="L10" s="10" t="str" cm="1">
        <f t="array" ref="L10">pbp(D10,E10:K10)</f>
        <v>Payback period is 4 Year(s) 1.01 Month(s)</v>
      </c>
    </row>
    <row r="11" spans="3:12" x14ac:dyDescent="0.3">
      <c r="C11">
        <v>6</v>
      </c>
      <c r="D11">
        <v>10000</v>
      </c>
      <c r="E11">
        <f t="shared" ref="E11:K20" ca="1" si="2">RANDBETWEEN(1500,$D$6)</f>
        <v>2999</v>
      </c>
      <c r="F11">
        <f t="shared" ca="1" si="2"/>
        <v>1521</v>
      </c>
      <c r="G11">
        <f t="shared" ca="1" si="2"/>
        <v>3059</v>
      </c>
      <c r="H11">
        <f t="shared" ca="1" si="2"/>
        <v>4083</v>
      </c>
      <c r="I11">
        <f t="shared" ca="1" si="2"/>
        <v>1510</v>
      </c>
      <c r="J11">
        <f t="shared" ca="1" si="2"/>
        <v>3135</v>
      </c>
      <c r="K11">
        <f t="shared" ca="1" si="2"/>
        <v>1827</v>
      </c>
      <c r="L11" s="10" t="str" cm="1">
        <f t="array" aca="1" ref="L11" ca="1">pbp(D11,E11:K11)</f>
        <v>Payback period is 3 Year(s) 7.12 Month(s)</v>
      </c>
    </row>
    <row r="12" spans="3:12" x14ac:dyDescent="0.3">
      <c r="C12">
        <v>7</v>
      </c>
      <c r="D12">
        <v>11000</v>
      </c>
      <c r="E12">
        <f t="shared" ca="1" si="2"/>
        <v>4874</v>
      </c>
      <c r="F12">
        <f t="shared" ca="1" si="2"/>
        <v>2365</v>
      </c>
      <c r="G12">
        <f t="shared" ca="1" si="2"/>
        <v>3101</v>
      </c>
      <c r="H12">
        <f t="shared" ca="1" si="2"/>
        <v>3264</v>
      </c>
      <c r="I12">
        <f t="shared" ca="1" si="2"/>
        <v>4073</v>
      </c>
      <c r="J12">
        <f t="shared" ca="1" si="2"/>
        <v>1677</v>
      </c>
      <c r="K12">
        <f t="shared" ca="1" si="2"/>
        <v>1982</v>
      </c>
      <c r="L12" s="10" t="str" cm="1">
        <f t="array" aca="1" ref="L12" ca="1">pbp(D12,E12:K12)</f>
        <v>Payback period is 3 Year(s) 2.43 Month(s)</v>
      </c>
    </row>
    <row r="13" spans="3:12" x14ac:dyDescent="0.3">
      <c r="C13">
        <v>8</v>
      </c>
      <c r="D13">
        <v>12000</v>
      </c>
      <c r="E13">
        <f t="shared" ca="1" si="2"/>
        <v>4381</v>
      </c>
      <c r="F13">
        <f t="shared" ca="1" si="2"/>
        <v>4075</v>
      </c>
      <c r="G13">
        <f t="shared" ca="1" si="2"/>
        <v>2065</v>
      </c>
      <c r="H13">
        <f t="shared" ca="1" si="2"/>
        <v>3543</v>
      </c>
      <c r="I13">
        <f t="shared" ca="1" si="2"/>
        <v>2617</v>
      </c>
      <c r="J13">
        <f t="shared" ca="1" si="2"/>
        <v>4076</v>
      </c>
      <c r="K13">
        <f t="shared" ca="1" si="2"/>
        <v>3952</v>
      </c>
      <c r="L13" s="10" t="str" cm="1">
        <f t="array" aca="1" ref="L13" ca="1">pbp(D13,E13:K13)</f>
        <v>Payback period is 3 Year(s) 5.01 Month(s)</v>
      </c>
    </row>
    <row r="14" spans="3:12" x14ac:dyDescent="0.3">
      <c r="C14">
        <v>9</v>
      </c>
      <c r="D14">
        <v>13000</v>
      </c>
      <c r="E14">
        <f t="shared" ca="1" si="2"/>
        <v>4401</v>
      </c>
      <c r="F14">
        <f t="shared" ca="1" si="2"/>
        <v>3197</v>
      </c>
      <c r="G14">
        <f t="shared" ca="1" si="2"/>
        <v>2377</v>
      </c>
      <c r="H14">
        <f t="shared" ca="1" si="2"/>
        <v>1769</v>
      </c>
      <c r="I14">
        <f t="shared" ca="1" si="2"/>
        <v>4243</v>
      </c>
      <c r="J14">
        <f t="shared" ca="1" si="2"/>
        <v>4038</v>
      </c>
      <c r="K14">
        <f t="shared" ca="1" si="2"/>
        <v>3090</v>
      </c>
      <c r="L14" s="10" t="str" cm="1">
        <f t="array" aca="1" ref="L14" ca="1">pbp(D14,E14:K14)</f>
        <v>Payback period is 4 Year(s) 3.55 Month(s)</v>
      </c>
    </row>
    <row r="15" spans="3:12" x14ac:dyDescent="0.3">
      <c r="C15">
        <v>10</v>
      </c>
      <c r="D15">
        <v>14000</v>
      </c>
      <c r="E15">
        <f t="shared" ca="1" si="2"/>
        <v>4971</v>
      </c>
      <c r="F15">
        <f t="shared" ca="1" si="2"/>
        <v>3236</v>
      </c>
      <c r="G15">
        <f t="shared" ca="1" si="2"/>
        <v>2428</v>
      </c>
      <c r="H15">
        <f t="shared" ca="1" si="2"/>
        <v>3246</v>
      </c>
      <c r="I15">
        <f t="shared" ca="1" si="2"/>
        <v>3887</v>
      </c>
      <c r="J15">
        <f t="shared" ca="1" si="2"/>
        <v>4885</v>
      </c>
      <c r="K15">
        <f t="shared" ca="1" si="2"/>
        <v>4197</v>
      </c>
      <c r="L15" s="10" t="str" cm="1">
        <f t="array" aca="1" ref="L15" ca="1">pbp(D15,E15:K15)</f>
        <v>Payback period is 4 Year(s) 0.37 Month(s)</v>
      </c>
    </row>
    <row r="16" spans="3:12" x14ac:dyDescent="0.3">
      <c r="C16">
        <v>11</v>
      </c>
      <c r="D16">
        <v>15000</v>
      </c>
      <c r="E16">
        <f t="shared" ca="1" si="2"/>
        <v>1621</v>
      </c>
      <c r="F16">
        <f t="shared" ca="1" si="2"/>
        <v>4756</v>
      </c>
      <c r="G16">
        <f t="shared" ca="1" si="2"/>
        <v>4739</v>
      </c>
      <c r="H16">
        <f t="shared" ca="1" si="2"/>
        <v>4041</v>
      </c>
      <c r="I16">
        <f t="shared" ca="1" si="2"/>
        <v>4460</v>
      </c>
      <c r="J16">
        <f t="shared" ca="1" si="2"/>
        <v>1800</v>
      </c>
      <c r="K16">
        <f t="shared" ca="1" si="2"/>
        <v>3829</v>
      </c>
      <c r="L16" s="10" t="str" cm="1">
        <f t="array" aca="1" ref="L16" ca="1">pbp(D16,E16:K16)</f>
        <v>Payback period is 3 Year(s) 11.53 Month(s)</v>
      </c>
    </row>
    <row r="17" spans="3:12" x14ac:dyDescent="0.3">
      <c r="C17">
        <v>12</v>
      </c>
      <c r="D17">
        <v>16000</v>
      </c>
      <c r="E17">
        <f t="shared" ca="1" si="2"/>
        <v>1900</v>
      </c>
      <c r="F17">
        <f t="shared" ca="1" si="2"/>
        <v>4065</v>
      </c>
      <c r="G17">
        <f t="shared" ca="1" si="2"/>
        <v>1879</v>
      </c>
      <c r="H17">
        <f t="shared" ca="1" si="2"/>
        <v>2183</v>
      </c>
      <c r="I17">
        <f t="shared" ca="1" si="2"/>
        <v>1630</v>
      </c>
      <c r="J17">
        <f t="shared" ca="1" si="2"/>
        <v>4046</v>
      </c>
      <c r="K17">
        <f t="shared" ca="1" si="2"/>
        <v>1582</v>
      </c>
      <c r="L17" s="10" t="str" cm="1">
        <f t="array" aca="1" ref="L17" ca="1">pbp(D17,E17:K17)</f>
        <v>Payback period is 6 Year(s) 2.25 Month(s)</v>
      </c>
    </row>
    <row r="18" spans="3:12" x14ac:dyDescent="0.3">
      <c r="C18">
        <v>13</v>
      </c>
      <c r="D18">
        <v>17000</v>
      </c>
      <c r="E18">
        <f t="shared" ca="1" si="2"/>
        <v>2352</v>
      </c>
      <c r="F18">
        <f t="shared" ca="1" si="2"/>
        <v>2898</v>
      </c>
      <c r="G18">
        <f t="shared" ca="1" si="2"/>
        <v>4034</v>
      </c>
      <c r="H18">
        <f t="shared" ca="1" si="2"/>
        <v>3310</v>
      </c>
      <c r="I18">
        <f t="shared" ca="1" si="2"/>
        <v>2250</v>
      </c>
      <c r="J18">
        <f t="shared" ca="1" si="2"/>
        <v>2485</v>
      </c>
      <c r="K18">
        <f t="shared" ca="1" si="2"/>
        <v>4617</v>
      </c>
      <c r="L18" s="10" t="str" cm="1">
        <f t="array" aca="1" ref="L18" ca="1">pbp(D18,E18:K18)</f>
        <v>Payback period is 5 Year(s) 10.41 Month(s)</v>
      </c>
    </row>
    <row r="19" spans="3:12" x14ac:dyDescent="0.3">
      <c r="C19">
        <v>14</v>
      </c>
      <c r="D19">
        <v>18000</v>
      </c>
      <c r="E19">
        <f t="shared" ca="1" si="2"/>
        <v>3496</v>
      </c>
      <c r="F19">
        <f t="shared" ca="1" si="2"/>
        <v>4126</v>
      </c>
      <c r="G19">
        <f t="shared" ca="1" si="2"/>
        <v>3705</v>
      </c>
      <c r="H19">
        <f t="shared" ca="1" si="2"/>
        <v>4423</v>
      </c>
      <c r="I19">
        <f t="shared" ca="1" si="2"/>
        <v>3885</v>
      </c>
      <c r="J19">
        <f t="shared" ca="1" si="2"/>
        <v>1603</v>
      </c>
      <c r="K19">
        <f t="shared" ca="1" si="2"/>
        <v>3387</v>
      </c>
      <c r="L19" s="10" t="str" cm="1">
        <f t="array" aca="1" ref="L19" ca="1">pbp(D19,E19:K19)</f>
        <v>Payback period is 4 Year(s) 6.95 Month(s)</v>
      </c>
    </row>
    <row r="20" spans="3:12" x14ac:dyDescent="0.3">
      <c r="C20">
        <v>15</v>
      </c>
      <c r="D20">
        <v>19000</v>
      </c>
      <c r="E20">
        <f t="shared" ca="1" si="2"/>
        <v>2242</v>
      </c>
      <c r="F20">
        <f t="shared" ca="1" si="2"/>
        <v>2285</v>
      </c>
      <c r="G20">
        <f t="shared" ca="1" si="2"/>
        <v>2622</v>
      </c>
      <c r="H20">
        <f t="shared" ca="1" si="2"/>
        <v>4424</v>
      </c>
      <c r="I20">
        <f t="shared" ca="1" si="2"/>
        <v>1789</v>
      </c>
      <c r="J20">
        <f t="shared" ca="1" si="2"/>
        <v>1796</v>
      </c>
      <c r="K20">
        <f t="shared" ca="1" si="2"/>
        <v>2791</v>
      </c>
      <c r="L20" s="10" t="str" cm="1">
        <f t="array" aca="1" ref="L20" ca="1">pbp(D20,E20:K20)</f>
        <v>No payback period exists</v>
      </c>
    </row>
    <row r="22" spans="3:12" x14ac:dyDescent="0.3">
      <c r="C22" t="s">
        <v>7</v>
      </c>
      <c r="D22" t="s">
        <v>8</v>
      </c>
      <c r="E22" s="12" t="s">
        <v>9</v>
      </c>
      <c r="F22" s="12"/>
      <c r="G22" s="12"/>
      <c r="H22" s="12"/>
      <c r="I22" s="12"/>
      <c r="J22" s="12"/>
      <c r="K22" s="12"/>
      <c r="L22" t="s">
        <v>11</v>
      </c>
    </row>
    <row r="23" spans="3:12" x14ac:dyDescent="0.3">
      <c r="C23">
        <v>1</v>
      </c>
      <c r="D23">
        <v>5000</v>
      </c>
      <c r="E23" s="10">
        <v>2915</v>
      </c>
      <c r="F23" s="10">
        <v>2111</v>
      </c>
      <c r="G23" s="10">
        <v>2036</v>
      </c>
      <c r="H23" s="10">
        <v>1870</v>
      </c>
      <c r="I23" s="10">
        <v>3767</v>
      </c>
      <c r="J23" s="10">
        <v>3583</v>
      </c>
      <c r="K23" s="10">
        <v>4940</v>
      </c>
      <c r="L23" s="10" t="str" cm="1">
        <f t="array" ref="L23">Dpbp($E$1%,D23,E23:K23)</f>
        <v>Payback period is 2 Year(s) 4.75 Month(s)</v>
      </c>
    </row>
    <row r="24" spans="3:12" x14ac:dyDescent="0.3">
      <c r="C24">
        <v>2</v>
      </c>
      <c r="D24">
        <v>6000</v>
      </c>
      <c r="E24" s="10">
        <v>2330</v>
      </c>
      <c r="F24" s="10">
        <v>4803</v>
      </c>
      <c r="G24" s="10">
        <v>4463</v>
      </c>
      <c r="H24" s="10">
        <v>2547</v>
      </c>
      <c r="I24" s="10">
        <v>4595</v>
      </c>
      <c r="J24" s="10">
        <v>3061</v>
      </c>
      <c r="K24" s="10">
        <v>4778</v>
      </c>
      <c r="L24" s="10" t="str" cm="1">
        <f t="array" ref="L24">Dpbp($E$1%,D24,E24:K24)</f>
        <v>Payback period is 1 Year(s) 11.74 Month(s)</v>
      </c>
    </row>
    <row r="25" spans="3:12" x14ac:dyDescent="0.3">
      <c r="C25">
        <v>3</v>
      </c>
      <c r="D25">
        <v>7000</v>
      </c>
      <c r="E25" s="10">
        <v>3602</v>
      </c>
      <c r="F25" s="10">
        <v>1604</v>
      </c>
      <c r="G25" s="10">
        <v>2709</v>
      </c>
      <c r="H25" s="10">
        <v>2243</v>
      </c>
      <c r="I25" s="10">
        <v>2814</v>
      </c>
      <c r="J25" s="10">
        <v>2343</v>
      </c>
      <c r="K25" s="10">
        <v>2759</v>
      </c>
      <c r="L25" s="10" t="str" cm="1">
        <f t="array" ref="L25">Dpbp($E$1%,D25,E25:K25)</f>
        <v>Payback period is 3 Year(s) 2.86 Month(s)</v>
      </c>
    </row>
    <row r="26" spans="3:12" x14ac:dyDescent="0.3">
      <c r="C26">
        <v>4</v>
      </c>
      <c r="D26">
        <v>8000</v>
      </c>
      <c r="E26" s="10">
        <v>1578</v>
      </c>
      <c r="F26" s="10">
        <v>2185</v>
      </c>
      <c r="G26" s="10">
        <v>2254</v>
      </c>
      <c r="H26" s="10">
        <v>2915</v>
      </c>
      <c r="I26" s="10">
        <v>2074</v>
      </c>
      <c r="J26" s="10">
        <v>4359</v>
      </c>
      <c r="K26" s="10">
        <v>1785</v>
      </c>
      <c r="L26" s="10" t="str" cm="1">
        <f t="array" ref="L26">Dpbp($E$1%,D26,E26:K26)</f>
        <v>Payback period is 4 Year(s) 10.02 Month(s)</v>
      </c>
    </row>
    <row r="27" spans="3:12" x14ac:dyDescent="0.3">
      <c r="C27">
        <v>5</v>
      </c>
      <c r="D27">
        <v>9000</v>
      </c>
      <c r="E27" s="10">
        <v>1991</v>
      </c>
      <c r="F27" s="10">
        <v>2626</v>
      </c>
      <c r="G27" s="10">
        <v>1531</v>
      </c>
      <c r="H27" s="10">
        <v>2583</v>
      </c>
      <c r="I27" s="10">
        <v>3188</v>
      </c>
      <c r="J27" s="10">
        <v>2477</v>
      </c>
      <c r="K27" s="10">
        <v>2822</v>
      </c>
      <c r="L27" s="10" t="str" cm="1">
        <f t="array" ref="L27">Dpbp($E$1%,D27,E27:K27)</f>
        <v>Payback period is 5 Year(s) 1.08 Month(s)</v>
      </c>
    </row>
  </sheetData>
  <mergeCells count="2">
    <mergeCell ref="E5:K5"/>
    <mergeCell ref="E22:K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Sumiran Gurung</dc:creator>
  <cp:lastModifiedBy>Sumiran Gurung</cp:lastModifiedBy>
  <dcterms:created xsi:type="dcterms:W3CDTF">2025-12-20T10:17:48Z</dcterms:created>
  <dcterms:modified xsi:type="dcterms:W3CDTF">2026-01-20T08:52:54Z</dcterms:modified>
</cp:coreProperties>
</file>